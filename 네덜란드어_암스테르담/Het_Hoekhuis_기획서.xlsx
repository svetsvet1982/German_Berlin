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진행 현황" sheetId="2" state="visible" r:id="rId4"/>
    <sheet name="등장인물" sheetId="3" state="visible" r:id="rId5"/>
    <sheet name="난이도 설계" sheetId="4" state="visible" r:id="rId6"/>
    <sheet name="화별 개요" sheetId="5" state="visible" r:id="rId7"/>
    <sheet name="문체 원칙" sheetId="6" state="visible" r:id="rId8"/>
    <sheet name="부별 어휘 영역" sheetId="7" state="visible" r:id="rId9"/>
    <sheet name="소재별 배치" sheetId="8" state="visible" r:id="rId10"/>
  </sheets>
  <definedNames>
    <definedName function="false" hidden="true" localSheetId="4" name="_xlnm._FilterDatabase" vbProcedure="false">'화별 개요'!$A$1:$H$76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<sst xmlns="http://schemas.openxmlformats.org/spreadsheetml/2006/main" count="636" uniqueCount="400">
  <si>
    <r>
      <rPr>
        <b val="true"/>
        <sz val="14"/>
        <rFont val="WenQuanYi Zen Hei"/>
        <family val="2"/>
      </rPr>
      <t xml:space="preserve">《</t>
    </r>
    <r>
      <rPr>
        <b val="true"/>
        <sz val="14"/>
        <rFont val="Arial"/>
        <family val="0"/>
        <charset val="1"/>
      </rPr>
      <t xml:space="preserve">Het Hoekhuis</t>
    </r>
    <r>
      <rPr>
        <b val="true"/>
        <sz val="14"/>
        <rFont val="WenQuanYi Zen Hei"/>
        <family val="2"/>
      </rPr>
      <t xml:space="preserve">》 네덜란드어 연속 대화문 기획서</t>
    </r>
  </si>
  <si>
    <r>
      <rPr>
        <sz val="10"/>
        <rFont val="WenQuanYi Zen Hei"/>
        <family val="2"/>
      </rPr>
      <t xml:space="preserve">암스테르담 요르단 지구 운하변 건물의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년 하고도 한 계절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네덜란드인끼리의 구어 낭독 연습용</t>
    </r>
    <r>
      <rPr>
        <sz val="10"/>
        <rFont val="Arial"/>
        <family val="0"/>
        <charset val="1"/>
      </rPr>
      <t xml:space="preserve">.</t>
    </r>
  </si>
  <si>
    <t xml:space="preserve">항목</t>
  </si>
  <si>
    <t xml:space="preserve">내용</t>
  </si>
  <si>
    <t xml:space="preserve">배경</t>
  </si>
  <si>
    <r>
      <rPr>
        <sz val="10"/>
        <rFont val="WenQuanYi Zen Hei"/>
        <family val="2"/>
      </rPr>
      <t xml:space="preserve">암스테르담 요르단 지구의 운하변 건물 한 채 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층 브라운 카페</t>
    </r>
    <r>
      <rPr>
        <sz val="10"/>
        <rFont val="Arial"/>
        <family val="0"/>
        <charset val="1"/>
      </rPr>
      <t xml:space="preserve">, 2</t>
    </r>
    <r>
      <rPr>
        <sz val="10"/>
        <rFont val="WenQuanYi Zen Hei"/>
        <family val="2"/>
      </rPr>
      <t xml:space="preserve">층 자전거 수리점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주거</t>
    </r>
    <r>
      <rPr>
        <sz val="10"/>
        <rFont val="Arial"/>
        <family val="0"/>
        <charset val="1"/>
      </rPr>
      <t xml:space="preserve">, 3~4</t>
    </r>
    <r>
      <rPr>
        <sz val="10"/>
        <rFont val="WenQuanYi Zen Hei"/>
        <family val="2"/>
      </rPr>
      <t xml:space="preserve">층 세입자</t>
    </r>
    <r>
      <rPr>
        <sz val="10"/>
        <rFont val="Arial"/>
        <family val="0"/>
        <charset val="1"/>
      </rPr>
      <t xml:space="preserve">) + </t>
    </r>
    <r>
      <rPr>
        <sz val="10"/>
        <rFont val="WenQuanYi Zen Hei"/>
        <family val="2"/>
      </rPr>
      <t xml:space="preserve">학교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직장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해변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시청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얼음 위</t>
    </r>
  </si>
  <si>
    <t xml:space="preserve">분량</t>
  </si>
  <si>
    <r>
      <rPr>
        <sz val="10"/>
        <rFont val="WenQuanYi Zen Hei"/>
        <family val="2"/>
      </rPr>
      <t xml:space="preserve">총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× 15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= 75</t>
    </r>
    <r>
      <rPr>
        <sz val="10"/>
        <rFont val="WenQuanYi Zen Hei"/>
        <family val="2"/>
      </rPr>
      <t xml:space="preserve">화</t>
    </r>
  </si>
  <si>
    <t xml:space="preserve">화당 길이</t>
  </si>
  <si>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화자 발화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Arial"/>
        <family val="0"/>
        <charset val="1"/>
      </rPr>
      <t xml:space="preserve">= 1</t>
    </r>
    <r>
      <rPr>
        <sz val="10"/>
        <rFont val="WenQuanYi Zen Hei"/>
        <family val="2"/>
      </rPr>
      <t xml:space="preserve">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지문은 턴 수에 포함하지 않음</t>
    </r>
    <r>
      <rPr>
        <sz val="10"/>
        <rFont val="Arial"/>
        <family val="0"/>
        <charset val="1"/>
      </rPr>
      <t xml:space="preserve">)</t>
    </r>
  </si>
  <si>
    <t xml:space="preserve">총 분량</t>
  </si>
  <si>
    <r>
      <rPr>
        <sz val="10"/>
        <rFont val="Arial"/>
        <family val="0"/>
        <charset val="1"/>
      </rPr>
      <t xml:space="preserve">9,000</t>
    </r>
    <r>
      <rPr>
        <sz val="10"/>
        <rFont val="WenQuanYi Zen Hei"/>
        <family val="2"/>
      </rPr>
      <t xml:space="preserve">턴</t>
    </r>
  </si>
  <si>
    <t xml:space="preserve">턴 번호</t>
  </si>
  <si>
    <r>
      <rPr>
        <sz val="10"/>
        <rFont val="WenQuanYi Zen Hei"/>
        <family val="2"/>
      </rPr>
      <t xml:space="preserve">표기하지 않음 </t>
    </r>
    <r>
      <rPr>
        <sz val="10"/>
        <rFont val="Arial"/>
        <family val="0"/>
        <charset val="1"/>
      </rPr>
      <t xml:space="preserve">(Bram : </t>
    </r>
    <r>
      <rPr>
        <sz val="10"/>
        <rFont val="WenQuanYi Zen Hei"/>
        <family val="2"/>
      </rPr>
      <t xml:space="preserve">처럼 화자 이름으로만 구분</t>
    </r>
    <r>
      <rPr>
        <sz val="10"/>
        <rFont val="Arial"/>
        <family val="0"/>
        <charset val="1"/>
      </rPr>
      <t xml:space="preserve">)</t>
    </r>
  </si>
  <si>
    <t xml:space="preserve">화자 수</t>
  </si>
  <si>
    <r>
      <rPr>
        <sz val="10"/>
        <rFont val="WenQuanYi Zen Hei"/>
        <family val="2"/>
      </rPr>
      <t xml:space="preserve">한 화 </t>
    </r>
    <r>
      <rPr>
        <sz val="10"/>
        <rFont val="Arial"/>
        <family val="0"/>
        <charset val="1"/>
      </rPr>
      <t xml:space="preserve">2~4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카페 장면은 최대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명</t>
    </r>
  </si>
  <si>
    <t xml:space="preserve">구성 원칙</t>
  </si>
  <si>
    <r>
      <rPr>
        <sz val="10"/>
        <rFont val="WenQuanYi Zen Hei"/>
        <family val="2"/>
      </rPr>
      <t xml:space="preserve">네덜란드의 한 해 달력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킹스데이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신터클라스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결빙 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따라가는 군상극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화마다 주인공 인물이 바뀜</t>
    </r>
  </si>
  <si>
    <t xml:space="preserve">난이도</t>
  </si>
  <si>
    <r>
      <rPr>
        <sz val="10"/>
        <rFont val="Arial"/>
        <family val="0"/>
        <charset val="1"/>
      </rPr>
      <t xml:space="preserve">A2~C1 </t>
    </r>
    <r>
      <rPr>
        <sz val="10"/>
        <rFont val="WenQuanYi Zen Hei"/>
        <family val="2"/>
      </rPr>
      <t xml:space="preserve">혼합 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장 비율표</t>
    </r>
    <r>
      <rPr>
        <sz val="10"/>
        <rFont val="Arial"/>
        <family val="0"/>
        <charset val="1"/>
      </rPr>
      <t xml:space="preserve">)</t>
    </r>
  </si>
  <si>
    <t xml:space="preserve">한글 해석</t>
  </si>
  <si>
    <t xml:space="preserve">각 화 맨 마지막에 대화 순서대로 수록</t>
  </si>
  <si>
    <t xml:space="preserve">낭독 용도</t>
  </si>
  <si>
    <r>
      <rPr>
        <sz val="10"/>
        <rFont val="WenQuanYi Zen Hei"/>
        <family val="2"/>
      </rPr>
      <t xml:space="preserve">각 화에 낭독 포인트</t>
    </r>
    <r>
      <rPr>
        <sz val="10"/>
        <rFont val="Arial"/>
        <family val="0"/>
        <charset val="1"/>
      </rPr>
      <t xml:space="preserve">(g/ch, ui, eu, ij/ei, sch, oe/uu, </t>
    </r>
    <r>
      <rPr>
        <sz val="10"/>
        <rFont val="WenQuanYi Zen Hei"/>
        <family val="2"/>
      </rPr>
      <t xml:space="preserve">축약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억양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명시</t>
    </r>
  </si>
  <si>
    <r>
      <rPr>
        <b val="true"/>
        <sz val="10"/>
        <rFont val="WenQuanYi Zen Hei"/>
        <family val="2"/>
      </rPr>
      <t xml:space="preserve">집계 </t>
    </r>
    <r>
      <rPr>
        <b val="true"/>
        <sz val="10"/>
        <rFont val="Arial"/>
        <family val="0"/>
        <charset val="1"/>
      </rPr>
      <t xml:space="preserve">("</t>
    </r>
    <r>
      <rPr>
        <b val="true"/>
        <sz val="10"/>
        <rFont val="WenQuanYi Zen Hei"/>
        <family val="2"/>
      </rPr>
      <t xml:space="preserve">화별 개요</t>
    </r>
    <r>
      <rPr>
        <b val="true"/>
        <sz val="10"/>
        <rFont val="Arial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시트에서 자동 계산</t>
    </r>
    <r>
      <rPr>
        <b val="true"/>
        <sz val="10"/>
        <rFont val="Arial"/>
        <family val="0"/>
        <charset val="1"/>
      </rPr>
      <t xml:space="preserve">)</t>
    </r>
  </si>
  <si>
    <t xml:space="preserve">총 화수</t>
  </si>
  <si>
    <t xml:space="preserve">화당 턴 수</t>
  </si>
  <si>
    <t xml:space="preserve">총 턴 수</t>
  </si>
  <si>
    <t xml:space="preserve">부 수</t>
  </si>
  <si>
    <t xml:space="preserve">부당 화수</t>
  </si>
  <si>
    <r>
      <rPr>
        <i val="true"/>
        <sz val="9"/>
        <rFont val="WenQuanYi Zen Hei"/>
        <family val="2"/>
      </rPr>
      <t xml:space="preserve">※ 화당 턴 수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WenQuanYi Zen Hei"/>
        <family val="2"/>
      </rPr>
      <t xml:space="preserve">파란색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WenQuanYi Zen Hei"/>
        <family val="2"/>
      </rPr>
      <t xml:space="preserve">는 입력값입니다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화별 개요 시트의 턴 수 열과 함께 바꾸면 합계가 갱신됩니다</t>
    </r>
    <r>
      <rPr>
        <i val="true"/>
        <sz val="9"/>
        <rFont val="Arial"/>
        <family val="0"/>
        <charset val="1"/>
      </rPr>
      <t xml:space="preserve">.</t>
    </r>
  </si>
  <si>
    <t xml:space="preserve">부</t>
  </si>
  <si>
    <t xml:space="preserve">전체 화수</t>
  </si>
  <si>
    <r>
      <rPr>
        <b val="true"/>
        <sz val="10"/>
        <color rgb="FFFFFFFF"/>
        <rFont val="WenQuanYi Zen Hei"/>
        <family val="2"/>
      </rPr>
      <t xml:space="preserve">작성 완료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초고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WenQuanYi Zen Hei"/>
        <family val="2"/>
      </rPr>
      <t xml:space="preserve">검수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</si>
  <si>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진행률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</si>
  <si>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Lente (</t>
    </r>
    <r>
      <rPr>
        <sz val="10"/>
        <rFont val="WenQuanYi Zen Hei"/>
        <family val="2"/>
      </rPr>
      <t xml:space="preserve">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</si>
  <si>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Zomer (</t>
    </r>
    <r>
      <rPr>
        <sz val="10"/>
        <rFont val="WenQuanYi Zen Hei"/>
        <family val="2"/>
      </rPr>
      <t xml:space="preserve">여름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</si>
  <si>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Herfst (</t>
    </r>
    <r>
      <rPr>
        <sz val="10"/>
        <rFont val="WenQuanYi Zen Hei"/>
        <family val="2"/>
      </rPr>
      <t xml:space="preserve">가을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</si>
  <si>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Winter (</t>
    </r>
    <r>
      <rPr>
        <sz val="10"/>
        <rFont val="WenQuanYi Zen Hei"/>
        <family val="2"/>
      </rPr>
      <t xml:space="preserve">겨울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</si>
  <si>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Nieuwe lente (</t>
    </r>
    <r>
      <rPr>
        <sz val="10"/>
        <rFont val="WenQuanYi Zen Hei"/>
        <family val="2"/>
      </rPr>
      <t xml:space="preserve">이듬해 봄</t>
    </r>
    <r>
      <rPr>
        <sz val="10"/>
        <rFont val="Arial"/>
        <family val="0"/>
        <charset val="1"/>
      </rPr>
      <t xml:space="preserve">)</t>
    </r>
  </si>
  <si>
    <t xml:space="preserve">합계</t>
  </si>
  <si>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WenQuanYi Zen Hei"/>
        <family val="2"/>
      </rPr>
      <t xml:space="preserve">화별 개요</t>
    </r>
    <r>
      <rPr>
        <i val="true"/>
        <sz val="9"/>
        <rFont val="Arial"/>
        <family val="0"/>
        <charset val="1"/>
      </rPr>
      <t xml:space="preserve">' </t>
    </r>
    <r>
      <rPr>
        <i val="true"/>
        <sz val="9"/>
        <rFont val="WenQuanYi Zen Hei"/>
        <family val="2"/>
      </rPr>
      <t xml:space="preserve">시트의 작성 상태</t>
    </r>
    <r>
      <rPr>
        <i val="true"/>
        <sz val="9"/>
        <rFont val="Arial"/>
        <family val="0"/>
        <charset val="1"/>
      </rPr>
      <t xml:space="preserve">(H</t>
    </r>
    <r>
      <rPr>
        <i val="true"/>
        <sz val="9"/>
        <rFont val="WenQuanYi Zen Hei"/>
        <family val="2"/>
      </rPr>
      <t xml:space="preserve">열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WenQuanYi Zen Hei"/>
        <family val="2"/>
      </rPr>
      <t xml:space="preserve">를 바꾸면 이 표가 자동 갱신됩니다</t>
    </r>
    <r>
      <rPr>
        <i val="true"/>
        <sz val="9"/>
        <rFont val="Arial"/>
        <family val="0"/>
        <charset val="1"/>
      </rPr>
      <t xml:space="preserve">.</t>
    </r>
  </si>
  <si>
    <t xml:space="preserve">이름</t>
  </si>
  <si>
    <t xml:space="preserve">설정</t>
  </si>
  <si>
    <t xml:space="preserve">맡는 소재</t>
  </si>
  <si>
    <r>
      <rPr>
        <sz val="10"/>
        <rFont val="Arial"/>
        <family val="0"/>
        <charset val="1"/>
      </rPr>
      <t xml:space="preserve">Bram de Wit (</t>
    </r>
    <r>
      <rPr>
        <sz val="10"/>
        <rFont val="WenQuanYi Zen Hei"/>
        <family val="2"/>
      </rPr>
      <t xml:space="preserve">브람 더 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</si>
  <si>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카페 주인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아약스 열성 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말이 많고 정이 많음</t>
    </r>
  </si>
  <si>
    <r>
      <rPr>
        <sz val="10"/>
        <rFont val="WenQuanYi Zen Hei"/>
        <family val="2"/>
      </rPr>
      <t xml:space="preserve">창업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스포츠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이웃 소문</t>
    </r>
  </si>
  <si>
    <r>
      <rPr>
        <sz val="10"/>
        <rFont val="Arial"/>
        <family val="0"/>
        <charset val="1"/>
      </rPr>
      <t xml:space="preserve">Marieke de Wit (</t>
    </r>
    <r>
      <rPr>
        <sz val="10"/>
        <rFont val="WenQuanYi Zen Hei"/>
        <family val="2"/>
      </rPr>
      <t xml:space="preserve">마리커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</si>
  <si>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34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브람의 딸</t>
    </r>
    <r>
      <rPr>
        <sz val="10"/>
        <rFont val="Arial"/>
        <family val="0"/>
        <charset val="1"/>
      </rPr>
      <t xml:space="preserve">, IT </t>
    </r>
    <r>
      <rPr>
        <sz val="10"/>
        <rFont val="WenQuanYi Zen Hei"/>
        <family val="2"/>
      </rPr>
      <t xml:space="preserve">회사 팀장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일에 치여 삶</t>
    </r>
  </si>
  <si>
    <r>
      <rPr>
        <sz val="10"/>
        <rFont val="WenQuanYi Zen Hei"/>
        <family val="2"/>
      </rPr>
      <t xml:space="preserve">직장 합의 문화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육아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이직</t>
    </r>
  </si>
  <si>
    <r>
      <rPr>
        <sz val="10"/>
        <rFont val="Arial"/>
        <family val="0"/>
        <charset val="1"/>
      </rPr>
      <t xml:space="preserve">Daan Veldhuis (</t>
    </r>
    <r>
      <rPr>
        <sz val="10"/>
        <rFont val="WenQuanYi Zen Hei"/>
        <family val="2"/>
      </rPr>
      <t xml:space="preserve">단 펠트하위스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</si>
  <si>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건물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층 자전거 수리공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느긋하고 유머러스</t>
    </r>
  </si>
  <si>
    <r>
      <rPr>
        <sz val="10"/>
        <rFont val="WenQuanYi Zen Hei"/>
        <family val="2"/>
      </rPr>
      <t xml:space="preserve">자전거 사고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도난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가게 운영</t>
    </r>
  </si>
  <si>
    <r>
      <rPr>
        <sz val="10"/>
        <rFont val="Arial"/>
        <family val="0"/>
        <charset val="1"/>
      </rPr>
      <t xml:space="preserve">Yasmin Aksoy (</t>
    </r>
    <r>
      <rPr>
        <sz val="10"/>
        <rFont val="WenQuanYi Zen Hei"/>
        <family val="2"/>
      </rPr>
      <t xml:space="preserve">야스민 악소이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</si>
  <si>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터키계 네덜란드인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초등학교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학년 아들 </t>
    </r>
    <r>
      <rPr>
        <sz val="10"/>
        <rFont val="Arial"/>
        <family val="0"/>
        <charset val="1"/>
      </rPr>
      <t xml:space="preserve">Emre</t>
    </r>
    <r>
      <rPr>
        <sz val="10"/>
        <rFont val="WenQuanYi Zen Hei"/>
        <family val="2"/>
      </rPr>
      <t xml:space="preserve">의 엄마</t>
    </r>
  </si>
  <si>
    <r>
      <rPr>
        <sz val="10"/>
        <rFont val="WenQuanYi Zen Hei"/>
        <family val="2"/>
      </rPr>
      <t xml:space="preserve">학교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학교 추천</t>
    </r>
    <r>
      <rPr>
        <sz val="10"/>
        <rFont val="Arial"/>
        <family val="0"/>
        <charset val="1"/>
      </rPr>
      <t xml:space="preserve">·eindtoets, </t>
    </r>
    <r>
      <rPr>
        <sz val="10"/>
        <rFont val="WenQuanYi Zen Hei"/>
        <family val="2"/>
      </rPr>
      <t xml:space="preserve">학부모 모임</t>
    </r>
  </si>
  <si>
    <r>
      <rPr>
        <sz val="10"/>
        <rFont val="Arial"/>
        <family val="0"/>
        <charset val="1"/>
      </rPr>
      <t xml:space="preserve">Opa Kees (</t>
    </r>
    <r>
      <rPr>
        <sz val="10"/>
        <rFont val="WenQuanYi Zen Hei"/>
        <family val="2"/>
      </rPr>
      <t xml:space="preserve">오파 케이스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</si>
  <si>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82~83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3</t>
    </r>
    <r>
      <rPr>
        <sz val="10"/>
        <rFont val="WenQuanYi Zen Hei"/>
        <family val="2"/>
      </rPr>
      <t xml:space="preserve">층 오래된 세입자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스케이팅과 옛이야기</t>
    </r>
  </si>
  <si>
    <r>
      <rPr>
        <sz val="10"/>
        <rFont val="WenQuanYi Zen Hei"/>
        <family val="2"/>
      </rPr>
      <t xml:space="preserve">명절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얼음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회상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생일</t>
    </r>
  </si>
  <si>
    <r>
      <rPr>
        <sz val="10"/>
        <rFont val="Arial"/>
        <family val="0"/>
        <charset val="1"/>
      </rPr>
      <t xml:space="preserve">Jesse van Dijk (</t>
    </r>
    <r>
      <rPr>
        <sz val="10"/>
        <rFont val="WenQuanYi Zen Hei"/>
        <family val="2"/>
      </rPr>
      <t xml:space="preserve">예서 판 데이크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</si>
  <si>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친구 집 소파를 전전하는 청년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마케팅 계약직</t>
    </r>
  </si>
  <si>
    <r>
      <rPr>
        <sz val="10"/>
        <rFont val="WenQuanYi Zen Hei"/>
        <family val="2"/>
      </rPr>
      <t xml:space="preserve">주택난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월세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룸메이트</t>
    </r>
  </si>
  <si>
    <r>
      <rPr>
        <sz val="10"/>
        <rFont val="Arial"/>
        <family val="0"/>
        <charset val="1"/>
      </rPr>
      <t xml:space="preserve">Mevrouw Smit (</t>
    </r>
    <r>
      <rPr>
        <sz val="10"/>
        <rFont val="WenQuanYi Zen Hei"/>
        <family val="2"/>
      </rPr>
      <t xml:space="preserve">스미트 부인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</si>
  <si>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62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옆집 이웃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규칙에 엄격하나 속은 따뜻함</t>
    </r>
  </si>
  <si>
    <r>
      <rPr>
        <sz val="10"/>
        <rFont val="WenQuanYi Zen Hei"/>
        <family val="2"/>
      </rPr>
      <t xml:space="preserve">소음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쓰레기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계단 청소 갈등</t>
    </r>
  </si>
  <si>
    <r>
      <rPr>
        <sz val="10"/>
        <rFont val="Arial"/>
        <family val="0"/>
        <charset val="1"/>
      </rPr>
      <t xml:space="preserve">Emre Aksoy (</t>
    </r>
    <r>
      <rPr>
        <sz val="10"/>
        <rFont val="WenQuanYi Zen Hei"/>
        <family val="2"/>
      </rPr>
      <t xml:space="preserve">에므레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</si>
  <si>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야스민의 아들</t>
    </r>
  </si>
  <si>
    <r>
      <rPr>
        <sz val="10"/>
        <rFont val="WenQuanYi Zen Hei"/>
        <family val="2"/>
      </rPr>
      <t xml:space="preserve">학교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자전거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아이 시선</t>
    </r>
  </si>
  <si>
    <r>
      <rPr>
        <sz val="10"/>
        <rFont val="Arial"/>
        <family val="0"/>
        <charset val="1"/>
      </rPr>
      <t xml:space="preserve">Karin (</t>
    </r>
    <r>
      <rPr>
        <sz val="10"/>
        <rFont val="WenQuanYi Zen Hei"/>
        <family val="2"/>
      </rPr>
      <t xml:space="preserve">카린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</si>
  <si>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카페 단골이자 바텐더 알바</t>
    </r>
  </si>
  <si>
    <r>
      <rPr>
        <sz val="10"/>
        <rFont val="WenQuanYi Zen Hei"/>
        <family val="2"/>
      </rPr>
      <t xml:space="preserve">카페 소문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구어 담당</t>
    </r>
  </si>
  <si>
    <r>
      <rPr>
        <sz val="10"/>
        <rFont val="Arial"/>
        <family val="0"/>
        <charset val="1"/>
      </rPr>
      <t xml:space="preserve">Dhr. Van Rooijen (</t>
    </r>
    <r>
      <rPr>
        <sz val="10"/>
        <rFont val="WenQuanYi Zen Hei"/>
        <family val="2"/>
      </rPr>
      <t xml:space="preserve">판 로이옌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</si>
  <si>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투자회사</t>
    </r>
    <r>
      <rPr>
        <sz val="10"/>
        <rFont val="Arial"/>
        <family val="0"/>
        <charset val="1"/>
      </rPr>
      <t xml:space="preserve">(belegger) </t>
    </r>
    <r>
      <rPr>
        <sz val="10"/>
        <rFont val="WenQuanYi Zen Hei"/>
        <family val="2"/>
      </rPr>
      <t xml:space="preserve">담당자</t>
    </r>
  </si>
  <si>
    <r>
      <rPr>
        <sz val="10"/>
        <rFont val="WenQuanYi Zen Hei"/>
        <family val="2"/>
      </rPr>
      <t xml:space="preserve">매각 협상 </t>
    </r>
    <r>
      <rPr>
        <sz val="10"/>
        <rFont val="Arial"/>
        <family val="0"/>
        <charset val="1"/>
      </rPr>
      <t xml:space="preserve">(u </t>
    </r>
    <r>
      <rPr>
        <sz val="10"/>
        <rFont val="WenQuanYi Zen Hei"/>
        <family val="2"/>
      </rPr>
      <t xml:space="preserve">격식체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</si>
  <si>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Mevr. Bakker (</t>
    </r>
    <r>
      <rPr>
        <sz val="10"/>
        <rFont val="WenQuanYi Zen Hei"/>
        <family val="2"/>
      </rPr>
      <t xml:space="preserve">바커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</si>
  <si>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은행 담당자</t>
    </r>
  </si>
  <si>
    <r>
      <rPr>
        <sz val="10"/>
        <rFont val="WenQuanYi Zen Hei"/>
        <family val="2"/>
      </rPr>
      <t xml:space="preserve">대출 상담 </t>
    </r>
    <r>
      <rPr>
        <sz val="10"/>
        <rFont val="Arial"/>
        <family val="0"/>
        <charset val="1"/>
      </rPr>
      <t xml:space="preserve">(u </t>
    </r>
    <r>
      <rPr>
        <sz val="10"/>
        <rFont val="WenQuanYi Zen Hei"/>
        <family val="2"/>
      </rPr>
      <t xml:space="preserve">격식체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</si>
  <si>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Mr. Hendriks (</t>
    </r>
    <r>
      <rPr>
        <sz val="10"/>
        <rFont val="WenQuanYi Zen Hei"/>
        <family val="2"/>
      </rPr>
      <t xml:space="preserve">헨드릭스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</si>
  <si>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세입자 변호사</t>
    </r>
  </si>
  <si>
    <r>
      <rPr>
        <sz val="10"/>
        <rFont val="WenQuanYi Zen Hei"/>
        <family val="2"/>
      </rPr>
      <t xml:space="preserve">법률 상담 </t>
    </r>
    <r>
      <rPr>
        <sz val="10"/>
        <rFont val="Arial"/>
        <family val="0"/>
        <charset val="1"/>
      </rPr>
      <t xml:space="preserve">(u </t>
    </r>
    <r>
      <rPr>
        <sz val="10"/>
        <rFont val="WenQuanYi Zen Hei"/>
        <family val="2"/>
      </rPr>
      <t xml:space="preserve">격식체</t>
    </r>
    <r>
      <rPr>
        <sz val="10"/>
        <rFont val="Arial"/>
        <family val="0"/>
        <charset val="1"/>
      </rPr>
      <t xml:space="preserve">)</t>
    </r>
  </si>
  <si>
    <t xml:space="preserve">계절</t>
  </si>
  <si>
    <t xml:space="preserve">상황</t>
  </si>
  <si>
    <t xml:space="preserve">주 난이도</t>
  </si>
  <si>
    <t xml:space="preserve">A2</t>
  </si>
  <si>
    <t xml:space="preserve">B1</t>
  </si>
  <si>
    <t xml:space="preserve">B2</t>
  </si>
  <si>
    <t xml:space="preserve">C1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</si>
  <si>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Lente</t>
    </r>
  </si>
  <si>
    <t xml:space="preserve">봄</t>
  </si>
  <si>
    <t xml:space="preserve">소개와 일상</t>
  </si>
  <si>
    <t xml:space="preserve">A2~B1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</si>
  <si>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Zomer</t>
    </r>
  </si>
  <si>
    <t xml:space="preserve">여름</t>
  </si>
  <si>
    <t xml:space="preserve">문제의 확산</t>
  </si>
  <si>
    <t xml:space="preserve">B1~B2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</si>
  <si>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Herfst</t>
    </r>
  </si>
  <si>
    <t xml:space="preserve">가을</t>
  </si>
  <si>
    <t xml:space="preserve">위기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</si>
  <si>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Winter</t>
    </r>
  </si>
  <si>
    <t xml:space="preserve">겨울</t>
  </si>
  <si>
    <t xml:space="preserve">연대와 협상</t>
  </si>
  <si>
    <t xml:space="preserve">B2~C1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</si>
  <si>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Nieuwe lente</t>
    </r>
  </si>
  <si>
    <t xml:space="preserve">이듬해 봄</t>
  </si>
  <si>
    <t xml:space="preserve">새 출발</t>
  </si>
  <si>
    <t xml:space="preserve">화</t>
  </si>
  <si>
    <t xml:space="preserve">제목</t>
  </si>
  <si>
    <t xml:space="preserve">사건</t>
  </si>
  <si>
    <t xml:space="preserve">학습 포인트</t>
  </si>
  <si>
    <t xml:space="preserve">턴 수</t>
  </si>
  <si>
    <t xml:space="preserve">작성 상태</t>
  </si>
  <si>
    <t xml:space="preserve">Een gewone dinsdag in 't Hoekje</t>
  </si>
  <si>
    <t xml:space="preserve">아침에 브람이 카페 문을 열고 칠판을 내걸며 단골들이 하나둘 들어옴</t>
  </si>
  <si>
    <r>
      <rPr>
        <sz val="10"/>
        <rFont val="WenQuanYi Zen Hei"/>
        <family val="2"/>
      </rPr>
      <t xml:space="preserve">인사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현재형</t>
    </r>
    <r>
      <rPr>
        <sz val="10"/>
        <rFont val="Arial"/>
        <family val="0"/>
        <charset val="1"/>
      </rPr>
      <t xml:space="preserve">, V2 </t>
    </r>
    <r>
      <rPr>
        <sz val="10"/>
        <rFont val="WenQuanYi Zen Hei"/>
        <family val="2"/>
      </rPr>
      <t xml:space="preserve">어순</t>
    </r>
  </si>
  <si>
    <t xml:space="preserve">미작성</t>
  </si>
  <si>
    <t xml:space="preserve">De fiets is weg</t>
  </si>
  <si>
    <t xml:space="preserve">에므레의 새 자전거가 도난당해 신고하러 감</t>
  </si>
  <si>
    <r>
      <rPr>
        <sz val="10"/>
        <rFont val="WenQuanYi Zen Hei"/>
        <family val="2"/>
      </rPr>
      <t xml:space="preserve">과거 사건 서술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완료시제</t>
    </r>
    <r>
      <rPr>
        <sz val="10"/>
        <rFont val="Arial"/>
        <family val="0"/>
        <charset val="1"/>
      </rPr>
      <t xml:space="preserve">(hebben/zijn), </t>
    </r>
    <r>
      <rPr>
        <sz val="10"/>
        <rFont val="WenQuanYi Zen Hei"/>
        <family val="2"/>
      </rPr>
      <t xml:space="preserve">신고 표현</t>
    </r>
  </si>
  <si>
    <t xml:space="preserve">Lawaai na tienen</t>
  </si>
  <si>
    <t xml:space="preserve">예서의 친구들 소음으로 스미트 부인이 항의</t>
  </si>
  <si>
    <r>
      <rPr>
        <sz val="10"/>
        <rFont val="WenQuanYi Zen Hei"/>
        <family val="2"/>
      </rPr>
      <t xml:space="preserve">정중한 항의</t>
    </r>
    <r>
      <rPr>
        <sz val="10"/>
        <rFont val="Arial"/>
        <family val="0"/>
        <charset val="1"/>
      </rPr>
      <t xml:space="preserve">, kunnen/moeten/mogen, </t>
    </r>
    <r>
      <rPr>
        <sz val="10"/>
        <rFont val="WenQuanYi Zen Hei"/>
        <family val="2"/>
      </rPr>
      <t xml:space="preserve">사과</t>
    </r>
  </si>
  <si>
    <t xml:space="preserve">Koffie of thee?</t>
  </si>
  <si>
    <t xml:space="preserve">카페 단골들의 날씨 수다와 주문</t>
  </si>
  <si>
    <r>
      <rPr>
        <sz val="10"/>
        <rFont val="WenQuanYi Zen Hei"/>
        <family val="2"/>
      </rPr>
      <t xml:space="preserve">날씨 잡담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비교급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담화표지</t>
    </r>
  </si>
  <si>
    <t xml:space="preserve">Het schoolplein</t>
  </si>
  <si>
    <t xml:space="preserve">야스민이 학부모들과 숙제와 학교 행사를 이야기</t>
  </si>
  <si>
    <r>
      <rPr>
        <sz val="10"/>
        <rFont val="WenQuanYi Zen Hei"/>
        <family val="2"/>
      </rPr>
      <t xml:space="preserve">일정 말하기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의무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허락</t>
    </r>
    <r>
      <rPr>
        <sz val="10"/>
        <rFont val="Arial"/>
        <family val="0"/>
        <charset val="1"/>
      </rPr>
      <t xml:space="preserve">, er </t>
    </r>
    <r>
      <rPr>
        <sz val="10"/>
        <rFont val="WenQuanYi Zen Hei"/>
        <family val="2"/>
      </rPr>
      <t xml:space="preserve">용법 입문</t>
    </r>
  </si>
  <si>
    <t xml:space="preserve">Verjaardag van Opa Kees</t>
  </si>
  <si>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세 생일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원형으로 둘러앉아 인사하는 버르다흐</t>
    </r>
  </si>
  <si>
    <r>
      <rPr>
        <sz val="10"/>
        <rFont val="WenQuanYi Zen Hei"/>
        <family val="2"/>
      </rPr>
      <t xml:space="preserve">축하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날짜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가족 호칭</t>
    </r>
  </si>
  <si>
    <t xml:space="preserve">Ajax op de buis</t>
  </si>
  <si>
    <t xml:space="preserve">카페에서 경기 중계를 보며 해설과 야유</t>
  </si>
  <si>
    <r>
      <rPr>
        <sz val="10"/>
        <rFont val="WenQuanYi Zen Hei"/>
        <family val="2"/>
      </rPr>
      <t xml:space="preserve">감탄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의견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스포츠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축소어</t>
    </r>
  </si>
  <si>
    <t xml:space="preserve">De huurverhoging</t>
  </si>
  <si>
    <t xml:space="preserve">월세 인상 통지를 받은 이웃들의 반응</t>
  </si>
  <si>
    <r>
      <rPr>
        <sz val="10"/>
        <rFont val="WenQuanYi Zen Hei"/>
        <family val="2"/>
      </rPr>
      <t xml:space="preserve">숫자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퍼센트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걱정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부정문</t>
    </r>
  </si>
  <si>
    <t xml:space="preserve">Koningsnacht</t>
  </si>
  <si>
    <t xml:space="preserve">킹스데이 전날 밤의 준비와 설렘</t>
  </si>
  <si>
    <r>
      <rPr>
        <sz val="10"/>
        <rFont val="WenQuanYi Zen Hei"/>
        <family val="2"/>
      </rPr>
      <t xml:space="preserve">계획 말하기</t>
    </r>
    <r>
      <rPr>
        <sz val="10"/>
        <rFont val="Arial"/>
        <family val="0"/>
        <charset val="1"/>
      </rPr>
      <t xml:space="preserve">(gaan + </t>
    </r>
    <r>
      <rPr>
        <sz val="10"/>
        <rFont val="WenQuanYi Zen Hei"/>
        <family val="2"/>
      </rPr>
      <t xml:space="preserve">부정사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시간 표현</t>
    </r>
  </si>
  <si>
    <t xml:space="preserve">Vrijmarkt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</si>
  <si>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일 거리 플리마켓에서 물건 흥정</t>
    </r>
  </si>
  <si>
    <r>
      <rPr>
        <sz val="10"/>
        <rFont val="WenQuanYi Zen Hei"/>
        <family val="2"/>
      </rPr>
      <t xml:space="preserve">흥정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지시대명사</t>
    </r>
  </si>
  <si>
    <t xml:space="preserve">Dodenherdenking om acht uur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</si>
  <si>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일 저녁 묵념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오파 케이스의 회상</t>
    </r>
  </si>
  <si>
    <r>
      <rPr>
        <sz val="10"/>
        <rFont val="WenQuanYi Zen Hei"/>
        <family val="2"/>
      </rPr>
      <t xml:space="preserve">과거 서술</t>
    </r>
    <r>
      <rPr>
        <sz val="10"/>
        <rFont val="Arial"/>
        <family val="0"/>
        <charset val="1"/>
      </rPr>
      <t xml:space="preserve">(imperfectum), </t>
    </r>
    <r>
      <rPr>
        <sz val="10"/>
        <rFont val="WenQuanYi Zen Hei"/>
        <family val="2"/>
      </rPr>
      <t xml:space="preserve">조용한 어조</t>
    </r>
  </si>
  <si>
    <t xml:space="preserve">Bevrijdingsdag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</si>
  <si>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일 가족 점심과 음악</t>
    </r>
  </si>
  <si>
    <r>
      <rPr>
        <sz val="10"/>
        <rFont val="WenQuanYi Zen Hei"/>
        <family val="2"/>
      </rPr>
      <t xml:space="preserve">가족 모임 화법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선호 표현</t>
    </r>
  </si>
  <si>
    <t xml:space="preserve">De remmen doen het niet</t>
  </si>
  <si>
    <t xml:space="preserve">단과 함께 자전거 수리 중 일어난 접촉 사고</t>
  </si>
  <si>
    <r>
      <rPr>
        <sz val="10"/>
        <rFont val="WenQuanYi Zen Hei"/>
        <family val="2"/>
      </rPr>
      <t xml:space="preserve">부상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고장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원인 설명</t>
    </r>
    <r>
      <rPr>
        <sz val="10"/>
        <rFont val="Arial"/>
        <family val="0"/>
        <charset val="1"/>
      </rPr>
      <t xml:space="preserve">(omdat/want)</t>
    </r>
  </si>
  <si>
    <t xml:space="preserve">Een zaak runnen</t>
  </si>
  <si>
    <r>
      <rPr>
        <sz val="10"/>
        <rFont val="WenQuanYi Zen Hei"/>
        <family val="2"/>
      </rPr>
      <t xml:space="preserve">브람이 카페 개업 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주년을 계획하며 장부를 정리</t>
    </r>
  </si>
  <si>
    <r>
      <rPr>
        <sz val="10"/>
        <rFont val="WenQuanYi Zen Hei"/>
        <family val="2"/>
      </rPr>
      <t xml:space="preserve">비용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수입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미래 계획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조건</t>
    </r>
    <r>
      <rPr>
        <sz val="10"/>
        <rFont val="Arial"/>
        <family val="0"/>
        <charset val="1"/>
      </rPr>
      <t xml:space="preserve">(als)</t>
    </r>
  </si>
  <si>
    <t xml:space="preserve">Een briefje in de brievenbus</t>
  </si>
  <si>
    <r>
      <rPr>
        <sz val="10"/>
        <rFont val="WenQuanYi Zen Hei"/>
        <family val="2"/>
      </rPr>
      <t xml:space="preserve">건물이 매각될 수 있다는 익명 쪽지가 도착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클리프행어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</si>
  <si>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걱정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추측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간접 질문 입문</t>
    </r>
  </si>
  <si>
    <t xml:space="preserve">Het gerucht</t>
  </si>
  <si>
    <t xml:space="preserve">소문이 번지고 입주민 회의가 소집됨</t>
  </si>
  <si>
    <r>
      <rPr>
        <sz val="10"/>
        <rFont val="WenQuanYi Zen Hei"/>
        <family val="2"/>
      </rPr>
      <t xml:space="preserve">추측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소문 전달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간접화법</t>
    </r>
  </si>
  <si>
    <t xml:space="preserve">Jesse zoekt een kamer</t>
  </si>
  <si>
    <r>
      <rPr>
        <sz val="10"/>
        <rFont val="WenQuanYi Zen Hei"/>
        <family val="2"/>
      </rPr>
      <t xml:space="preserve">예서가 </t>
    </r>
    <r>
      <rPr>
        <sz val="10"/>
        <rFont val="Arial"/>
        <family val="0"/>
        <charset val="1"/>
      </rPr>
      <t xml:space="preserve">Funda</t>
    </r>
    <r>
      <rPr>
        <sz val="10"/>
        <rFont val="WenQuanYi Zen Hei"/>
        <family val="2"/>
      </rPr>
      <t xml:space="preserve">로 방을 찾고 룸메이트 면접을 봄</t>
    </r>
  </si>
  <si>
    <r>
      <rPr>
        <sz val="10"/>
        <rFont val="WenQuanYi Zen Hei"/>
        <family val="2"/>
      </rPr>
      <t xml:space="preserve">임대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질문 화법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비교</t>
    </r>
  </si>
  <si>
    <t xml:space="preserve">De bezichtiging</t>
  </si>
  <si>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명이 줄 선 집 구경 경쟁</t>
    </r>
  </si>
  <si>
    <r>
      <rPr>
        <sz val="10"/>
        <rFont val="WenQuanYi Zen Hei"/>
        <family val="2"/>
      </rPr>
      <t xml:space="preserve">감정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설득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시간 압박 어휘</t>
    </r>
  </si>
  <si>
    <t xml:space="preserve">Overleg op kantoor</t>
  </si>
  <si>
    <r>
      <rPr>
        <sz val="10"/>
        <rFont val="WenQuanYi Zen Hei"/>
        <family val="2"/>
      </rPr>
      <t xml:space="preserve">마리커의 팀 회의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끝없는 합의 토론</t>
    </r>
    <r>
      <rPr>
        <sz val="10"/>
        <rFont val="Arial"/>
        <family val="0"/>
        <charset val="1"/>
      </rPr>
      <t xml:space="preserve">(polderen)</t>
    </r>
  </si>
  <si>
    <r>
      <rPr>
        <sz val="10"/>
        <rFont val="WenQuanYi Zen Hei"/>
        <family val="2"/>
      </rPr>
      <t xml:space="preserve">의견 제시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동의 구하기</t>
    </r>
  </si>
  <si>
    <t xml:space="preserve">Feedback is een cadeau</t>
  </si>
  <si>
    <t xml:space="preserve">직설적인 피드백과 상사와의 충돌</t>
  </si>
  <si>
    <r>
      <rPr>
        <sz val="10"/>
        <rFont val="WenQuanYi Zen Hei"/>
        <family val="2"/>
      </rPr>
      <t xml:space="preserve">직설 화법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완곡 표현 비교</t>
    </r>
  </si>
  <si>
    <t xml:space="preserve">Een dagje strand</t>
  </si>
  <si>
    <r>
      <rPr>
        <sz val="10"/>
        <rFont val="WenQuanYi Zen Hei"/>
        <family val="2"/>
      </rPr>
      <t xml:space="preserve">잔트보르트 당일치기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바람과 파도</t>
    </r>
  </si>
  <si>
    <r>
      <rPr>
        <sz val="10"/>
        <rFont val="WenQuanYi Zen Hei"/>
        <family val="2"/>
      </rPr>
      <t xml:space="preserve">날씨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해변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완료시제 서사</t>
    </r>
  </si>
  <si>
    <t xml:space="preserve">Vakantieplannen</t>
  </si>
  <si>
    <t xml:space="preserve">캠핑이냐 비행기냐 휴가 논쟁</t>
  </si>
  <si>
    <r>
      <rPr>
        <sz val="10"/>
        <rFont val="WenQuanYi Zen Hei"/>
        <family val="2"/>
      </rPr>
      <t xml:space="preserve">가정법</t>
    </r>
    <r>
      <rPr>
        <sz val="10"/>
        <rFont val="Arial"/>
        <family val="0"/>
        <charset val="1"/>
      </rPr>
      <t xml:space="preserve">(zou), </t>
    </r>
    <r>
      <rPr>
        <sz val="10"/>
        <rFont val="WenQuanYi Zen Hei"/>
        <family val="2"/>
      </rPr>
      <t xml:space="preserve">선택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타협</t>
    </r>
  </si>
  <si>
    <t xml:space="preserve">Burn-out</t>
  </si>
  <si>
    <t xml:space="preserve">마리커가 과로로 쓰러질 위기</t>
  </si>
  <si>
    <r>
      <rPr>
        <sz val="10"/>
        <rFont val="WenQuanYi Zen Hei"/>
        <family val="2"/>
      </rPr>
      <t xml:space="preserve">감정 서술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조언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관계절</t>
    </r>
  </si>
  <si>
    <t xml:space="preserve">Het nieuwe seizoen</t>
  </si>
  <si>
    <t xml:space="preserve">브람과 단골들이 시즌 개막 전 예상 토론</t>
  </si>
  <si>
    <r>
      <rPr>
        <sz val="10"/>
        <rFont val="WenQuanYi Zen Hei"/>
        <family val="2"/>
      </rPr>
      <t xml:space="preserve">예측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확신 정도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비교급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최상급</t>
    </r>
  </si>
  <si>
    <t xml:space="preserve">Canal Pride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</si>
  <si>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월 운하 퍼레이드에 카페가 북적임</t>
    </r>
  </si>
  <si>
    <r>
      <rPr>
        <sz val="10"/>
        <rFont val="WenQuanYi Zen Hei"/>
        <family val="2"/>
      </rPr>
      <t xml:space="preserve">행사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수동태 입문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감탄</t>
    </r>
  </si>
  <si>
    <t xml:space="preserve">De huurcommissie</t>
  </si>
  <si>
    <t xml:space="preserve">예서가 과도한 월세에 항의</t>
  </si>
  <si>
    <r>
      <rPr>
        <sz val="10"/>
        <rFont val="WenQuanYi Zen Hei"/>
        <family val="2"/>
      </rPr>
      <t xml:space="preserve">법적 표현 입문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주장과 근거</t>
    </r>
  </si>
  <si>
    <t xml:space="preserve">Hittegolf</t>
  </si>
  <si>
    <t xml:space="preserve">폭염 속의 건물 생활과 카페</t>
  </si>
  <si>
    <r>
      <rPr>
        <sz val="10"/>
        <rFont val="WenQuanYi Zen Hei"/>
        <family val="2"/>
      </rPr>
      <t xml:space="preserve">더위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불평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과장</t>
    </r>
  </si>
  <si>
    <t xml:space="preserve">De huisgenoot</t>
  </si>
  <si>
    <t xml:space="preserve">예서와 룸메이트의 첫 갈등</t>
  </si>
  <si>
    <r>
      <rPr>
        <sz val="10"/>
        <rFont val="WenQuanYi Zen Hei"/>
        <family val="2"/>
      </rPr>
      <t xml:space="preserve">생활 규칙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변명</t>
    </r>
  </si>
  <si>
    <t xml:space="preserve">Zomeravond op het dak</t>
  </si>
  <si>
    <t xml:space="preserve">옥상에서 이웃들이 화해하며 맥주를 나눔</t>
  </si>
  <si>
    <r>
      <rPr>
        <sz val="10"/>
        <rFont val="WenQuanYi Zen Hei"/>
        <family val="2"/>
      </rPr>
      <t xml:space="preserve">회상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화해 표현</t>
    </r>
  </si>
  <si>
    <t xml:space="preserve">De verkoop is rond</t>
  </si>
  <si>
    <r>
      <rPr>
        <sz val="10"/>
        <rFont val="WenQuanYi Zen Hei"/>
        <family val="2"/>
      </rPr>
      <t xml:space="preserve">매각이 확정됐다는 공식 통지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클리프행어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</si>
  <si>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공문 읽기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구어로 풀이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충격 표현</t>
    </r>
  </si>
  <si>
    <t xml:space="preserve">De belegger</t>
  </si>
  <si>
    <t xml:space="preserve">투자회사 담당자 판 로이옌의 방문</t>
  </si>
  <si>
    <r>
      <rPr>
        <sz val="10"/>
        <rFont val="Arial"/>
        <family val="0"/>
        <charset val="1"/>
      </rPr>
      <t xml:space="preserve">u </t>
    </r>
    <r>
      <rPr>
        <sz val="10"/>
        <rFont val="WenQuanYi Zen Hei"/>
        <family val="2"/>
      </rPr>
      <t xml:space="preserve">격식체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정중한 질문</t>
    </r>
  </si>
  <si>
    <t xml:space="preserve">Huurdersvergadering</t>
  </si>
  <si>
    <r>
      <rPr>
        <sz val="10"/>
        <rFont val="WenQuanYi Zen Hei"/>
        <family val="2"/>
      </rPr>
      <t xml:space="preserve">입주민 모임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의견 충돌과 합의 시도</t>
    </r>
  </si>
  <si>
    <r>
      <rPr>
        <sz val="10"/>
        <rFont val="WenQuanYi Zen Hei"/>
        <family val="2"/>
      </rPr>
      <t xml:space="preserve">토론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합의 화법</t>
    </r>
  </si>
  <si>
    <t xml:space="preserve">De bank zegt nee</t>
  </si>
  <si>
    <t xml:space="preserve">브람의 대출 거절</t>
  </si>
  <si>
    <r>
      <rPr>
        <sz val="10"/>
        <rFont val="WenQuanYi Zen Hei"/>
        <family val="2"/>
      </rPr>
      <t xml:space="preserve">금융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격식 화법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실망</t>
    </r>
  </si>
  <si>
    <t xml:space="preserve">Daans werkplaats</t>
  </si>
  <si>
    <t xml:space="preserve">수리점 임대 연장 협상과 불안</t>
  </si>
  <si>
    <r>
      <rPr>
        <sz val="10"/>
        <rFont val="WenQuanYi Zen Hei"/>
        <family val="2"/>
      </rPr>
      <t xml:space="preserve">협상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미래 불확실성</t>
    </r>
  </si>
  <si>
    <t xml:space="preserve">Het oudergesprek</t>
  </si>
  <si>
    <t xml:space="preserve">야스민이 선생님과 에므레의 진로 상담</t>
  </si>
  <si>
    <r>
      <rPr>
        <sz val="10"/>
        <rFont val="WenQuanYi Zen Hei"/>
        <family val="2"/>
      </rPr>
      <t xml:space="preserve">학교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칭찬과 우려</t>
    </r>
  </si>
  <si>
    <t xml:space="preserve">Ajax-Feyenoord</t>
  </si>
  <si>
    <r>
      <rPr>
        <sz val="10"/>
        <rFont val="WenQuanYi Zen Hei"/>
        <family val="2"/>
      </rPr>
      <t xml:space="preserve">라이벌전 날 카페 만석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소란</t>
    </r>
  </si>
  <si>
    <r>
      <rPr>
        <sz val="10"/>
        <rFont val="WenQuanYi Zen Hei"/>
        <family val="2"/>
      </rPr>
      <t xml:space="preserve">경기 중계식 빠른 구어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속어</t>
    </r>
  </si>
  <si>
    <t xml:space="preserve">Mevrouw Smit en de containers</t>
  </si>
  <si>
    <t xml:space="preserve">쓰레기 분리 분쟁</t>
  </si>
  <si>
    <r>
      <rPr>
        <sz val="10"/>
        <rFont val="WenQuanYi Zen Hei"/>
        <family val="2"/>
      </rPr>
      <t xml:space="preserve">규칙 설명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반박</t>
    </r>
  </si>
  <si>
    <t xml:space="preserve">Een advocaat voor de huurders</t>
  </si>
  <si>
    <t xml:space="preserve">변호사 헨드릭스와 세입자 권리 상담</t>
  </si>
  <si>
    <r>
      <rPr>
        <sz val="10"/>
        <rFont val="WenQuanYi Zen Hei"/>
        <family val="2"/>
      </rPr>
      <t xml:space="preserve">법률 상담 어휘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쉽게 풀어서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조건문</t>
    </r>
  </si>
  <si>
    <t xml:space="preserve">Ruzie aan de keukentafel</t>
  </si>
  <si>
    <t xml:space="preserve">브람과 마리커의 큰 다툼</t>
  </si>
  <si>
    <r>
      <rPr>
        <sz val="10"/>
        <rFont val="WenQuanYi Zen Hei"/>
        <family val="2"/>
      </rPr>
      <t xml:space="preserve">속어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말 끊기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감정 폭발</t>
    </r>
  </si>
  <si>
    <t xml:space="preserve">Regen, regen, regen</t>
  </si>
  <si>
    <t xml:space="preserve">폭우로 지붕이 새고 집주인은 무책임</t>
  </si>
  <si>
    <r>
      <rPr>
        <sz val="10"/>
        <rFont val="WenQuanYi Zen Hei"/>
        <family val="2"/>
      </rPr>
      <t xml:space="preserve">수리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책임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분노</t>
    </r>
  </si>
  <si>
    <t xml:space="preserve">Sint-Maarten</t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</si>
  <si>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일 아이들의 랜턴 노래</t>
    </r>
  </si>
  <si>
    <r>
      <rPr>
        <sz val="10"/>
        <rFont val="WenQuanYi Zen Hei"/>
        <family val="2"/>
      </rPr>
      <t xml:space="preserve">노래 가사 낭독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문화 어휘</t>
    </r>
  </si>
  <si>
    <t xml:space="preserve">Marieke zegt haar baan op</t>
  </si>
  <si>
    <t xml:space="preserve">마리커의 이직 결정과 상사 면담</t>
  </si>
  <si>
    <r>
      <rPr>
        <sz val="10"/>
        <rFont val="WenQuanYi Zen Hei"/>
        <family val="2"/>
      </rPr>
      <t xml:space="preserve">사직 화법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격려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후회 표현</t>
    </r>
  </si>
  <si>
    <t xml:space="preserve">Op het makelaarskantoor</t>
  </si>
  <si>
    <t xml:space="preserve">부동산 중개소와 대안 매물 협상</t>
  </si>
  <si>
    <r>
      <rPr>
        <sz val="10"/>
        <rFont val="WenQuanYi Zen Hei"/>
        <family val="2"/>
      </rPr>
      <t xml:space="preserve">중개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협상 화법</t>
    </r>
    <r>
      <rPr>
        <sz val="10"/>
        <rFont val="Arial"/>
        <family val="0"/>
        <charset val="1"/>
      </rPr>
      <t xml:space="preserve">(u)</t>
    </r>
  </si>
  <si>
    <t xml:space="preserve">Opa Kees en de watersnood</t>
  </si>
  <si>
    <r>
      <rPr>
        <sz val="10"/>
        <rFont val="WenQuanYi Zen Hei"/>
        <family val="2"/>
      </rPr>
      <t xml:space="preserve">오파 케이스의 </t>
    </r>
    <r>
      <rPr>
        <sz val="10"/>
        <rFont val="Arial"/>
        <family val="0"/>
        <charset val="1"/>
      </rPr>
      <t xml:space="preserve">1953</t>
    </r>
    <r>
      <rPr>
        <sz val="10"/>
        <rFont val="WenQuanYi Zen Hei"/>
        <family val="2"/>
      </rPr>
      <t xml:space="preserve">년 홍수 회상</t>
    </r>
  </si>
  <si>
    <r>
      <rPr>
        <sz val="10"/>
        <rFont val="WenQuanYi Zen Hei"/>
        <family val="2"/>
      </rPr>
      <t xml:space="preserve">과거 서술 심화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기억의 어조</t>
    </r>
  </si>
  <si>
    <t xml:space="preserve">Het besluit</t>
  </si>
  <si>
    <r>
      <rPr>
        <sz val="10"/>
        <rFont val="WenQuanYi Zen Hei"/>
        <family val="2"/>
      </rPr>
      <t xml:space="preserve">브람이 포기할지 맞설지 결정 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부 마무리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</si>
  <si>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결정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의지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가정문 종합</t>
    </r>
  </si>
  <si>
    <t xml:space="preserve">Sinterklaasavond</t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</si>
  <si>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일 선물과 풍자 시를 낭독하는 저녁</t>
    </r>
  </si>
  <si>
    <r>
      <rPr>
        <sz val="10"/>
        <rFont val="WenQuanYi Zen Hei"/>
        <family val="2"/>
      </rPr>
      <t xml:space="preserve">운문 낭독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유머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선물 어휘</t>
    </r>
  </si>
  <si>
    <t xml:space="preserve">Een idee van Yasmin</t>
  </si>
  <si>
    <t xml:space="preserve">협동조합으로 건물을 사자는 야스민의 제안</t>
  </si>
  <si>
    <r>
      <rPr>
        <sz val="10"/>
        <rFont val="WenQuanYi Zen Hei"/>
        <family val="2"/>
      </rPr>
      <t xml:space="preserve">제안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설득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장단점 논의</t>
    </r>
  </si>
  <si>
    <t xml:space="preserve">De coöperatie</t>
  </si>
  <si>
    <t xml:space="preserve">조합 설립 절차와 역할 분담</t>
  </si>
  <si>
    <r>
      <rPr>
        <sz val="10"/>
        <rFont val="WenQuanYi Zen Hei"/>
        <family val="2"/>
      </rPr>
      <t xml:space="preserve">조직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규칙 정하기</t>
    </r>
  </si>
  <si>
    <t xml:space="preserve">Rekenen aan het huis</t>
  </si>
  <si>
    <t xml:space="preserve">매입 자금과 월 부담 계산</t>
  </si>
  <si>
    <r>
      <rPr>
        <sz val="10"/>
        <rFont val="WenQuanYi Zen Hei"/>
        <family val="2"/>
      </rPr>
      <t xml:space="preserve">숫자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비용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근사 표현</t>
    </r>
  </si>
  <si>
    <t xml:space="preserve">Kerstdiner met de familie</t>
  </si>
  <si>
    <t xml:space="preserve">크리스마스 가족 만찬</t>
  </si>
  <si>
    <r>
      <rPr>
        <sz val="10"/>
        <rFont val="WenQuanYi Zen Hei"/>
        <family val="2"/>
      </rPr>
      <t xml:space="preserve">가족 화법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화해</t>
    </r>
  </si>
  <si>
    <t xml:space="preserve">Oud en Nieuw</t>
  </si>
  <si>
    <r>
      <rPr>
        <sz val="10"/>
        <rFont val="WenQuanYi Zen Hei"/>
        <family val="2"/>
      </rPr>
      <t xml:space="preserve">올리볼런과 불꽃놀이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새해 결심</t>
    </r>
  </si>
  <si>
    <r>
      <rPr>
        <sz val="10"/>
        <rFont val="WenQuanYi Zen Hei"/>
        <family val="2"/>
      </rPr>
      <t xml:space="preserve">덕담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결심 표현</t>
    </r>
  </si>
  <si>
    <t xml:space="preserve">Het ijs houdt het!</t>
  </si>
  <si>
    <t xml:space="preserve">결빙 여부를 두고 벌이는 논쟁</t>
  </si>
  <si>
    <r>
      <rPr>
        <sz val="10"/>
        <rFont val="WenQuanYi Zen Hei"/>
        <family val="2"/>
      </rPr>
      <t xml:space="preserve">추측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확률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날씨 서술</t>
    </r>
  </si>
  <si>
    <t xml:space="preserve">Op het ijs</t>
  </si>
  <si>
    <t xml:space="preserve">오파 케이스와 얼음 위 스케이팅</t>
  </si>
  <si>
    <r>
      <rPr>
        <sz val="10"/>
        <rFont val="WenQuanYi Zen Hei"/>
        <family val="2"/>
      </rPr>
      <t xml:space="preserve">서정적 서술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신체 어휘</t>
    </r>
  </si>
  <si>
    <t xml:space="preserve">Het schooladvies</t>
  </si>
  <si>
    <t xml:space="preserve">에므레의 중등학교 추천 결과</t>
  </si>
  <si>
    <r>
      <rPr>
        <sz val="10"/>
        <rFont val="WenQuanYi Zen Hei"/>
        <family val="2"/>
      </rPr>
      <t xml:space="preserve">학교 제도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기쁨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걱정</t>
    </r>
  </si>
  <si>
    <t xml:space="preserve">De presentatie voor de gemeente</t>
  </si>
  <si>
    <t xml:space="preserve">시청에 지원 신청 발표</t>
  </si>
  <si>
    <r>
      <rPr>
        <sz val="10"/>
        <rFont val="WenQuanYi Zen Hei"/>
        <family val="2"/>
      </rPr>
      <t xml:space="preserve">발표 화법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근거 제시</t>
    </r>
    <r>
      <rPr>
        <sz val="10"/>
        <rFont val="Arial"/>
        <family val="0"/>
        <charset val="1"/>
      </rPr>
      <t xml:space="preserve">(u)</t>
    </r>
  </si>
  <si>
    <t xml:space="preserve">Een tegenbod van de belegger</t>
  </si>
  <si>
    <t xml:space="preserve">투자회사의 역제안</t>
  </si>
  <si>
    <r>
      <rPr>
        <sz val="10"/>
        <rFont val="WenQuanYi Zen Hei"/>
        <family val="2"/>
      </rPr>
      <t xml:space="preserve">협상 화법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조건 계산</t>
    </r>
  </si>
  <si>
    <t xml:space="preserve">Onderhandelen</t>
  </si>
  <si>
    <t xml:space="preserve">대표와 마주 앉은 협상</t>
  </si>
  <si>
    <r>
      <rPr>
        <sz val="10"/>
        <rFont val="WenQuanYi Zen Hei"/>
        <family val="2"/>
      </rPr>
      <t xml:space="preserve">양보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정중한 압박</t>
    </r>
  </si>
  <si>
    <t xml:space="preserve">Crowdfunding in 't Hoekje</t>
  </si>
  <si>
    <r>
      <rPr>
        <sz val="10"/>
        <rFont val="WenQuanYi Zen Hei"/>
        <family val="2"/>
      </rPr>
      <t xml:space="preserve">카페에서 모금 행사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경기와 겹침</t>
    </r>
  </si>
  <si>
    <r>
      <rPr>
        <sz val="10"/>
        <rFont val="WenQuanYi Zen Hei"/>
        <family val="2"/>
      </rPr>
      <t xml:space="preserve">호소 화법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행사 사회자 어투</t>
    </r>
  </si>
  <si>
    <t xml:space="preserve">De laatste avond voor het bod</t>
  </si>
  <si>
    <t xml:space="preserve">입주민 투표와 마지막 회의</t>
  </si>
  <si>
    <r>
      <rPr>
        <sz val="10"/>
        <rFont val="WenQuanYi Zen Hei"/>
        <family val="2"/>
      </rPr>
      <t xml:space="preserve">합의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긴장</t>
    </r>
  </si>
  <si>
    <t xml:space="preserve">Het bod</t>
  </si>
  <si>
    <r>
      <rPr>
        <sz val="10"/>
        <rFont val="WenQuanYi Zen Hei"/>
        <family val="2"/>
      </rPr>
      <t xml:space="preserve">입찰서 제출과 기다림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클리프행어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</si>
  <si>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불안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시간 표현</t>
    </r>
  </si>
  <si>
    <t xml:space="preserve">Het antwoord</t>
  </si>
  <si>
    <t xml:space="preserve">입찰 결과 통보</t>
  </si>
  <si>
    <r>
      <rPr>
        <sz val="10"/>
        <rFont val="WenQuanYi Zen Hei"/>
        <family val="2"/>
      </rPr>
      <t xml:space="preserve">감정 폭발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안도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감탄</t>
    </r>
  </si>
  <si>
    <t xml:space="preserve">Bij de notaris</t>
  </si>
  <si>
    <t xml:space="preserve">공증 계약</t>
  </si>
  <si>
    <r>
      <rPr>
        <sz val="10"/>
        <rFont val="WenQuanYi Zen Hei"/>
        <family val="2"/>
      </rPr>
      <t xml:space="preserve">계약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확인 질문</t>
    </r>
    <r>
      <rPr>
        <sz val="10"/>
        <rFont val="Arial"/>
        <family val="0"/>
        <charset val="1"/>
      </rPr>
      <t xml:space="preserve">(u)</t>
    </r>
  </si>
  <si>
    <t xml:space="preserve">Wie is de baas?</t>
  </si>
  <si>
    <t xml:space="preserve">조합 운영 규칙을 둘러싼 새 갈등</t>
  </si>
  <si>
    <r>
      <rPr>
        <sz val="10"/>
        <rFont val="WenQuanYi Zen Hei"/>
        <family val="2"/>
      </rPr>
      <t xml:space="preserve">합의와 의견 대립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양보</t>
    </r>
  </si>
  <si>
    <t xml:space="preserve">De renovatie</t>
  </si>
  <si>
    <t xml:space="preserve">공사 소음으로 이웃 불만</t>
  </si>
  <si>
    <r>
      <rPr>
        <sz val="10"/>
        <rFont val="WenQuanYi Zen Hei"/>
        <family val="2"/>
      </rPr>
      <t xml:space="preserve">불평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완곡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건축 어휘</t>
    </r>
  </si>
  <si>
    <t xml:space="preserve">Een kamer voor Jesse</t>
  </si>
  <si>
    <t xml:space="preserve">예서가 건물 안에 방을 얻음</t>
  </si>
  <si>
    <r>
      <rPr>
        <sz val="10"/>
        <rFont val="WenQuanYi Zen Hei"/>
        <family val="2"/>
      </rPr>
      <t xml:space="preserve">임대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입주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감사</t>
    </r>
  </si>
  <si>
    <t xml:space="preserve">Daan breidt uit</t>
  </si>
  <si>
    <t xml:space="preserve">자전거 수리점 확장과 직원 채용</t>
  </si>
  <si>
    <r>
      <rPr>
        <sz val="10"/>
        <rFont val="WenQuanYi Zen Hei"/>
        <family val="2"/>
      </rPr>
      <t xml:space="preserve">사업 계획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채용 화법</t>
    </r>
  </si>
  <si>
    <t xml:space="preserve">De eindtoets</t>
  </si>
  <si>
    <t xml:space="preserve">에므레의 시험과 결과</t>
  </si>
  <si>
    <r>
      <rPr>
        <sz val="10"/>
        <rFont val="WenQuanYi Zen Hei"/>
        <family val="2"/>
      </rPr>
      <t xml:space="preserve">시험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응원 표현</t>
    </r>
  </si>
  <si>
    <t xml:space="preserve">Mevrouw Smit schrijft een brief</t>
  </si>
  <si>
    <t xml:space="preserve">스미트 부인의 화해 편지를 구어로 읽어 줌</t>
  </si>
  <si>
    <r>
      <rPr>
        <sz val="10"/>
        <rFont val="WenQuanYi Zen Hei"/>
        <family val="2"/>
      </rPr>
      <t xml:space="preserve">편지 낭독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사과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감사</t>
    </r>
  </si>
  <si>
    <t xml:space="preserve">De overdracht</t>
  </si>
  <si>
    <t xml:space="preserve">브람이 카페를 마리커에게 물려줌</t>
  </si>
  <si>
    <r>
      <rPr>
        <sz val="10"/>
        <rFont val="WenQuanYi Zen Hei"/>
        <family val="2"/>
      </rPr>
      <t xml:space="preserve">승계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감정 서술</t>
    </r>
  </si>
  <si>
    <t xml:space="preserve">두 번째 킹스데이 전야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</si>
  <si>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회상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설렘</t>
    </r>
  </si>
  <si>
    <t xml:space="preserve">두 번째 플리마켓과 새 풍경</t>
  </si>
  <si>
    <r>
      <rPr>
        <sz val="10"/>
        <rFont val="WenQuanYi Zen Hei"/>
        <family val="2"/>
      </rPr>
      <t xml:space="preserve">흥정 복습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가격 표현</t>
    </r>
  </si>
  <si>
    <t xml:space="preserve">Dodenherdenking</t>
  </si>
  <si>
    <r>
      <rPr>
        <sz val="10"/>
        <rFont val="WenQuanYi Zen Hei"/>
        <family val="2"/>
      </rPr>
      <t xml:space="preserve">두 번째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일 묵념</t>
    </r>
  </si>
  <si>
    <r>
      <rPr>
        <sz val="10"/>
        <rFont val="WenQuanYi Zen Hei"/>
        <family val="2"/>
      </rPr>
      <t xml:space="preserve">회상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조용한 어조</t>
    </r>
  </si>
  <si>
    <t xml:space="preserve">Een feest voor het hele huis</t>
  </si>
  <si>
    <t xml:space="preserve">건물 전체 집들이 파티와 생일</t>
  </si>
  <si>
    <r>
      <rPr>
        <sz val="10"/>
        <rFont val="WenQuanYi Zen Hei"/>
        <family val="2"/>
      </rPr>
      <t xml:space="preserve">연설 인사말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구어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건배</t>
    </r>
  </si>
  <si>
    <t xml:space="preserve">Een nieuw bord boven de deur</t>
  </si>
  <si>
    <r>
      <rPr>
        <sz val="10"/>
        <rFont val="WenQuanYi Zen Hei"/>
        <family val="2"/>
      </rPr>
      <t xml:space="preserve">새 간판 걸기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이름의 의미</t>
    </r>
  </si>
  <si>
    <r>
      <rPr>
        <sz val="10"/>
        <rFont val="WenQuanYi Zen Hei"/>
        <family val="2"/>
      </rPr>
      <t xml:space="preserve">상징 서술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감정</t>
    </r>
  </si>
  <si>
    <r>
      <rPr>
        <sz val="10"/>
        <rFont val="WenQuanYi Zen Hei"/>
        <family val="2"/>
      </rPr>
      <t xml:space="preserve">다시 시작되는 화요일 아침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마리커가 칠판을 내걸고 첫 손님이 들어옴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</si>
  <si>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수미상관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총정리</t>
    </r>
  </si>
  <si>
    <t xml:space="preserve">원칙</t>
  </si>
  <si>
    <t xml:space="preserve">기본 문체</t>
  </si>
  <si>
    <r>
      <rPr>
        <sz val="10"/>
        <rFont val="WenQuanYi Zen Hei"/>
        <family val="2"/>
      </rPr>
      <t xml:space="preserve">일상 구어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암스테르담 억양과 어휘를 반영하되 표기는 표준 철자를 따름</t>
    </r>
  </si>
  <si>
    <t xml:space="preserve">구어 특징</t>
  </si>
  <si>
    <r>
      <rPr>
        <sz val="10"/>
        <rFont val="WenQuanYi Zen Hei"/>
        <family val="2"/>
      </rPr>
      <t xml:space="preserve">축약</t>
    </r>
    <r>
      <rPr>
        <sz val="10"/>
        <rFont val="Arial"/>
        <family val="0"/>
        <charset val="1"/>
      </rPr>
      <t xml:space="preserve">(ik heb 'm, 't is, d'r, zo'n, m'n), </t>
    </r>
    <r>
      <rPr>
        <sz val="10"/>
        <rFont val="WenQuanYi Zen Hei"/>
        <family val="2"/>
      </rPr>
      <t xml:space="preserve">생략문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문장 끝 확인</t>
    </r>
    <r>
      <rPr>
        <sz val="10"/>
        <rFont val="Arial"/>
        <family val="0"/>
        <charset val="1"/>
      </rPr>
      <t xml:space="preserve">(hè, toch, of niet, zeg)</t>
    </r>
  </si>
  <si>
    <t xml:space="preserve">담화표지</t>
  </si>
  <si>
    <r>
      <rPr>
        <sz val="10"/>
        <rFont val="Arial"/>
        <family val="0"/>
        <charset val="1"/>
      </rPr>
      <t xml:space="preserve">nou, ja, hoor, even, gewoon, eigenlijk, joh, man, tja, hè, zeg </t>
    </r>
    <r>
      <rPr>
        <sz val="10"/>
        <rFont val="WenQuanYi Zen Hei"/>
        <family val="2"/>
      </rPr>
      <t xml:space="preserve">등을 자연스럽게 배치</t>
    </r>
  </si>
  <si>
    <t xml:space="preserve">호칭</t>
  </si>
  <si>
    <r>
      <rPr>
        <sz val="10"/>
        <rFont val="WenQuanYi Zen Hei"/>
        <family val="2"/>
      </rPr>
      <t xml:space="preserve">친구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동료는 </t>
    </r>
    <r>
      <rPr>
        <sz val="10"/>
        <rFont val="Arial"/>
        <family val="0"/>
        <charset val="1"/>
      </rPr>
      <t xml:space="preserve">je/jij, </t>
    </r>
    <r>
      <rPr>
        <sz val="10"/>
        <rFont val="WenQuanYi Zen Hei"/>
        <family val="2"/>
      </rPr>
      <t xml:space="preserve">노인과 격식 장면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은행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변호사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투자회사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공무원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u. </t>
    </r>
    <r>
      <rPr>
        <sz val="10"/>
        <rFont val="WenQuanYi Zen Hei"/>
        <family val="2"/>
      </rPr>
      <t xml:space="preserve">호칭 전환 장면을 의도적으로 넣음</t>
    </r>
  </si>
  <si>
    <t xml:space="preserve">어휘 층위</t>
  </si>
  <si>
    <r>
      <rPr>
        <sz val="10"/>
        <rFont val="WenQuanYi Zen Hei"/>
        <family val="2"/>
      </rPr>
      <t xml:space="preserve">카페와 가족 사이는 생생한 속어 </t>
    </r>
    <r>
      <rPr>
        <sz val="10"/>
        <rFont val="Arial"/>
        <family val="0"/>
        <charset val="1"/>
      </rPr>
      <t xml:space="preserve">(balen, kut-weer, lekker, tof, knap, joh, aanstellerij)</t>
    </r>
  </si>
  <si>
    <t xml:space="preserve">거친 표현</t>
  </si>
  <si>
    <r>
      <rPr>
        <sz val="10"/>
        <rFont val="WenQuanYi Zen Hei"/>
        <family val="2"/>
      </rPr>
      <t xml:space="preserve">압박과 다툼 장면에서 </t>
    </r>
    <r>
      <rPr>
        <sz val="10"/>
        <rFont val="Arial"/>
        <family val="0"/>
        <charset val="1"/>
      </rPr>
      <t xml:space="preserve">shit, verdomme, godverdomme, klote, kut, tering </t>
    </r>
    <r>
      <rPr>
        <sz val="10"/>
        <rFont val="WenQuanYi Zen Hei"/>
        <family val="2"/>
      </rPr>
      <t xml:space="preserve">정도까지 허용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질병을 이용한 저주와 모욕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차별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성적 표현은 제외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격식 장면과 아이 앞에서는 쓰지 않음</t>
    </r>
  </si>
  <si>
    <t xml:space="preserve">감정 폭발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</si>
  <si>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 위기와 가족 다툼에서 말 끊기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소리침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중얼거림 등 날것의 구어 리듬을 살림</t>
    </r>
  </si>
  <si>
    <t xml:space="preserve">학습 안전장치</t>
  </si>
  <si>
    <r>
      <rPr>
        <sz val="10"/>
        <rFont val="WenQuanYi Zen Hei"/>
        <family val="2"/>
      </rPr>
      <t xml:space="preserve">거친 표현은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속어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태그로 구분하고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분석에서 쓸 수 있는 상황과 쓰면 안 되는 상황을 한 줄로 명시</t>
    </r>
  </si>
  <si>
    <t xml:space="preserve">문장 길이</t>
  </si>
  <si>
    <r>
      <rPr>
        <sz val="10"/>
        <rFont val="WenQuanYi Zen Hei"/>
        <family val="2"/>
      </rPr>
      <t xml:space="preserve">한 호흡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단어 이내를 기본으로 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긴 설명도 두세 덩어리로 나눈다</t>
    </r>
  </si>
  <si>
    <r>
      <rPr>
        <sz val="10"/>
        <rFont val="WenQuanYi Zen Hei"/>
        <family val="2"/>
      </rPr>
      <t xml:space="preserve">지명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고유명</t>
    </r>
  </si>
  <si>
    <r>
      <rPr>
        <sz val="10"/>
        <rFont val="WenQuanYi Zen Hei"/>
        <family val="2"/>
      </rPr>
      <t xml:space="preserve">현실 지명과 행사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킹스데이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신터클라스 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는 실제 문화를 반영하되 인물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업체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사건은 모두 허구</t>
    </r>
  </si>
  <si>
    <t xml:space="preserve">핵심 어휘 영역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</si>
  <si>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</si>
  <si>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카페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날씨 잡담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자전거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이웃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생일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학교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킹스데이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기념일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</si>
  <si>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</si>
  <si>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주택 임대</t>
    </r>
    <r>
      <rPr>
        <sz val="10"/>
        <rFont val="Arial"/>
        <family val="0"/>
        <charset val="1"/>
      </rPr>
      <t xml:space="preserve">(Funda, </t>
    </r>
    <r>
      <rPr>
        <sz val="10"/>
        <rFont val="WenQuanYi Zen Hei"/>
        <family val="2"/>
      </rPr>
      <t xml:space="preserve">월세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룸메이트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직장 회의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피드백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해변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휴가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번아웃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폭염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퍼레이드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</si>
  <si>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</si>
  <si>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대출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은행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법률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세입자 권리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회의 토론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폭우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누수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가족 갈등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재난 회상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</si>
  <si>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</si>
  <si>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협동조합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자금 계산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詩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연말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얼음과 스케이팅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학교 추천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발표와 협상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</si>
  <si>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</si>
  <si>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공증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계약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운영 규칙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시험 결과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승계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축제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정착</t>
    </r>
  </si>
  <si>
    <t xml:space="preserve">소재</t>
  </si>
  <si>
    <t xml:space="preserve">주요 화</t>
  </si>
  <si>
    <t xml:space="preserve">담당 인물</t>
  </si>
  <si>
    <r>
      <rPr>
        <sz val="10"/>
        <rFont val="WenQuanYi Zen Hei"/>
        <family val="2"/>
      </rPr>
      <t xml:space="preserve">주택난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월세</t>
    </r>
  </si>
  <si>
    <t xml:space="preserve">8, 17, 18, 26, 28, 43, 65</t>
  </si>
  <si>
    <r>
      <rPr>
        <sz val="10"/>
        <rFont val="WenQuanYi Zen Hei"/>
        <family val="2"/>
      </rPr>
      <t xml:space="preserve">예서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마리커</t>
    </r>
  </si>
  <si>
    <t xml:space="preserve">자전거</t>
  </si>
  <si>
    <t xml:space="preserve">2, 13, 34, 66</t>
  </si>
  <si>
    <r>
      <rPr>
        <sz val="10"/>
        <rFont val="WenQuanYi Zen Hei"/>
        <family val="2"/>
      </rPr>
      <t xml:space="preserve">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에므레</t>
    </r>
  </si>
  <si>
    <r>
      <rPr>
        <sz val="10"/>
        <rFont val="WenQuanYi Zen Hei"/>
        <family val="2"/>
      </rPr>
      <t xml:space="preserve">생일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버르다흐</t>
    </r>
    <r>
      <rPr>
        <sz val="10"/>
        <rFont val="Arial"/>
        <family val="0"/>
        <charset val="1"/>
      </rPr>
      <t xml:space="preserve">)</t>
    </r>
  </si>
  <si>
    <t xml:space="preserve">6, 73</t>
  </si>
  <si>
    <r>
      <rPr>
        <sz val="10"/>
        <rFont val="WenQuanYi Zen Hei"/>
        <family val="2"/>
      </rPr>
      <t xml:space="preserve">오파 케이스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브람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마리커</t>
    </r>
  </si>
  <si>
    <t xml:space="preserve">직장 합의 문화</t>
  </si>
  <si>
    <t xml:space="preserve">19, 20, 23, 42</t>
  </si>
  <si>
    <t xml:space="preserve">마리커</t>
  </si>
  <si>
    <t xml:space="preserve">이웃 갈등</t>
  </si>
  <si>
    <t xml:space="preserve">3, 29, 37, 64, 68</t>
  </si>
  <si>
    <r>
      <rPr>
        <sz val="10"/>
        <rFont val="WenQuanYi Zen Hei"/>
        <family val="2"/>
      </rPr>
      <t xml:space="preserve">스미트 부인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예서</t>
    </r>
  </si>
  <si>
    <r>
      <rPr>
        <sz val="10"/>
        <rFont val="WenQuanYi Zen Hei"/>
        <family val="2"/>
      </rPr>
      <t xml:space="preserve">창업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경영</t>
    </r>
  </si>
  <si>
    <t xml:space="preserve">14, 33, 34, 56, 66, 69</t>
  </si>
  <si>
    <r>
      <rPr>
        <sz val="10"/>
        <rFont val="WenQuanYi Zen Hei"/>
        <family val="2"/>
      </rPr>
      <t xml:space="preserve">브람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단</t>
    </r>
  </si>
  <si>
    <r>
      <rPr>
        <sz val="10"/>
        <rFont val="WenQuanYi Zen Hei"/>
        <family val="2"/>
      </rPr>
      <t xml:space="preserve">가족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명절</t>
    </r>
  </si>
  <si>
    <t xml:space="preserve">9~12, 46, 50, 51, 70~72</t>
  </si>
  <si>
    <t xml:space="preserve">전 인물</t>
  </si>
  <si>
    <r>
      <rPr>
        <sz val="10"/>
        <rFont val="WenQuanYi Zen Hei"/>
        <family val="2"/>
      </rPr>
      <t xml:space="preserve">날씨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레저</t>
    </r>
  </si>
  <si>
    <t xml:space="preserve">21, 22, 27, 52, 53</t>
  </si>
  <si>
    <r>
      <rPr>
        <sz val="10"/>
        <rFont val="WenQuanYi Zen Hei"/>
        <family val="2"/>
      </rPr>
      <t xml:space="preserve">오파 케이스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브람</t>
    </r>
  </si>
  <si>
    <t xml:space="preserve">스포츠</t>
  </si>
  <si>
    <t xml:space="preserve">7, 24, 36, 58</t>
  </si>
  <si>
    <r>
      <rPr>
        <sz val="10"/>
        <rFont val="WenQuanYi Zen Hei"/>
        <family val="2"/>
      </rPr>
      <t xml:space="preserve">브람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단골들</t>
    </r>
  </si>
  <si>
    <r>
      <rPr>
        <sz val="10"/>
        <rFont val="WenQuanYi Zen Hei"/>
        <family val="2"/>
      </rPr>
      <t xml:space="preserve">학교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교육</t>
    </r>
  </si>
  <si>
    <t xml:space="preserve">5, 35, 54, 67</t>
  </si>
  <si>
    <r>
      <rPr>
        <sz val="10"/>
        <rFont val="WenQuanYi Zen Hei"/>
        <family val="2"/>
      </rPr>
      <t xml:space="preserve">야스민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에므레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</si>
</sst>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E4DFEC"/>
      </patternFill>
    </fill>
    <fill>
      <patternFill patternType="solid">
        <fgColor rgb="FFDDEBF7"/>
        <bgColor rgb="FFE2EFDA"/>
      </patternFill>
    </fill>
    <fill>
      <patternFill patternType="solid">
        <fgColor rgb="FFE4DFEC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26.8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4" customFormat="false" ht="15" hidden="false" customHeight="false" outlineLevel="0" collapsed="false">
      <c r="A14" s="4" t="s">
        <v>22</v>
      </c>
      <c r="B14" s="4" t="s">
        <v>23</v>
      </c>
    </row>
    <row r="16" customFormat="false" ht="15" hidden="false" customHeight="false" outlineLevel="0" collapsed="false">
      <c r="A16" s="6" t="s">
        <v>24</v>
      </c>
    </row>
    <row r="17" customFormat="false" ht="15" hidden="false" customHeight="false" outlineLevel="0" collapsed="false">
      <c r="A17" s="7" t="s">
        <v>25</v>
      </c>
      <c r="B17" s="8" t="n">
        <f aca="false">COUNTA('화별 개요'!B2:B76)</f>
        <v>75</v>
      </c>
    </row>
    <row r="18" customFormat="false" ht="15" hidden="false" customHeight="false" outlineLevel="0" collapsed="false">
      <c r="A18" s="7" t="s">
        <v>26</v>
      </c>
      <c r="B18" s="9" t="n">
        <v>120</v>
      </c>
    </row>
    <row r="19" customFormat="false" ht="15" hidden="false" customHeight="false" outlineLevel="0" collapsed="false">
      <c r="A19" s="7" t="s">
        <v>27</v>
      </c>
      <c r="B19" s="8" t="n">
        <f aca="false">B17*B18</f>
        <v>9000</v>
      </c>
    </row>
    <row r="20" customFormat="false" ht="15" hidden="false" customHeight="false" outlineLevel="0" collapsed="false">
      <c r="A20" s="7" t="s">
        <v>28</v>
      </c>
      <c r="B20" s="8" t="n">
        <v>5</v>
      </c>
    </row>
    <row r="21" customFormat="false" ht="15" hidden="false" customHeight="false" outlineLevel="0" collapsed="false">
      <c r="A21" s="7" t="s">
        <v>29</v>
      </c>
      <c r="B21" s="8" t="n">
        <v>15</v>
      </c>
    </row>
    <row r="22" customFormat="false" ht="15" hidden="false" customHeight="false" outlineLevel="0" collapsed="false">
      <c r="A22" s="1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3" t="s">
        <v>31</v>
      </c>
      <c r="B1" s="3" t="s">
        <v>32</v>
      </c>
      <c r="C1" s="3" t="s">
        <v>33</v>
      </c>
      <c r="D1" s="3" t="s">
        <v>34</v>
      </c>
      <c r="E1" s="3" t="s">
        <v>27</v>
      </c>
    </row>
    <row r="2" customFormat="false" ht="15" hidden="false" customHeight="false" outlineLevel="0" collapsed="false">
      <c r="A2" s="11" t="s">
        <v>35</v>
      </c>
      <c r="B2" s="7" t="n">
        <f aca="false">COUNTIF('화별 개요'!C2:C76,A2)</f>
        <v>15</v>
      </c>
      <c r="C2" s="7" t="n">
        <f aca="false">COUNTIFS('화별 개요'!C2:C76,A2,'화별 개요'!H2:H76,"초고완료")+COUNTIFS('화별 개요'!C2:C76,A2,'화별 개요'!H2:H76,"검수완료")</f>
        <v>0</v>
      </c>
      <c r="D2" s="12" t="n">
        <f aca="false">IF(B2=0,0,C2/B2)</f>
        <v>0</v>
      </c>
      <c r="E2" s="7" t="n">
        <f aca="false">SUMIFS('화별 개요'!G2:G76,'화별 개요'!C2:C76,A2)</f>
        <v>1800</v>
      </c>
    </row>
    <row r="3" customFormat="false" ht="15" hidden="false" customHeight="false" outlineLevel="0" collapsed="false">
      <c r="A3" s="13" t="s">
        <v>36</v>
      </c>
      <c r="B3" s="7" t="n">
        <f aca="false">COUNTIF('화별 개요'!C2:C76,A3)</f>
        <v>15</v>
      </c>
      <c r="C3" s="7" t="n">
        <f aca="false">COUNTIFS('화별 개요'!C2:C76,A3,'화별 개요'!H2:H76,"초고완료")+COUNTIFS('화별 개요'!C2:C76,A3,'화별 개요'!H2:H76,"검수완료")</f>
        <v>0</v>
      </c>
      <c r="D3" s="12" t="n">
        <f aca="false">IF(B3=0,0,C3/B3)</f>
        <v>0</v>
      </c>
      <c r="E3" s="7" t="n">
        <f aca="false">SUMIFS('화별 개요'!G2:G76,'화별 개요'!C2:C76,A3)</f>
        <v>1800</v>
      </c>
    </row>
    <row r="4" customFormat="false" ht="15" hidden="false" customHeight="false" outlineLevel="0" collapsed="false">
      <c r="A4" s="14" t="s">
        <v>37</v>
      </c>
      <c r="B4" s="7" t="n">
        <f aca="false">COUNTIF('화별 개요'!C2:C76,A4)</f>
        <v>15</v>
      </c>
      <c r="C4" s="7" t="n">
        <f aca="false">COUNTIFS('화별 개요'!C2:C76,A4,'화별 개요'!H2:H76,"초고완료")+COUNTIFS('화별 개요'!C2:C76,A4,'화별 개요'!H2:H76,"검수완료")</f>
        <v>0</v>
      </c>
      <c r="D4" s="12" t="n">
        <f aca="false">IF(B4=0,0,C4/B4)</f>
        <v>0</v>
      </c>
      <c r="E4" s="7" t="n">
        <f aca="false">SUMIFS('화별 개요'!G2:G76,'화별 개요'!C2:C76,A4)</f>
        <v>1800</v>
      </c>
    </row>
    <row r="5" customFormat="false" ht="15" hidden="false" customHeight="false" outlineLevel="0" collapsed="false">
      <c r="A5" s="15" t="s">
        <v>38</v>
      </c>
      <c r="B5" s="7" t="n">
        <f aca="false">COUNTIF('화별 개요'!C2:C76,A5)</f>
        <v>15</v>
      </c>
      <c r="C5" s="7" t="n">
        <f aca="false">COUNTIFS('화별 개요'!C2:C76,A5,'화별 개요'!H2:H76,"초고완료")+COUNTIFS('화별 개요'!C2:C76,A5,'화별 개요'!H2:H76,"검수완료")</f>
        <v>0</v>
      </c>
      <c r="D5" s="12" t="n">
        <f aca="false">IF(B5=0,0,C5/B5)</f>
        <v>0</v>
      </c>
      <c r="E5" s="7" t="n">
        <f aca="false">SUMIFS('화별 개요'!G2:G76,'화별 개요'!C2:C76,A5)</f>
        <v>1800</v>
      </c>
    </row>
    <row r="6" customFormat="false" ht="15" hidden="false" customHeight="false" outlineLevel="0" collapsed="false">
      <c r="A6" s="16" t="s">
        <v>39</v>
      </c>
      <c r="B6" s="7" t="n">
        <f aca="false">COUNTIF('화별 개요'!C2:C76,A6)</f>
        <v>15</v>
      </c>
      <c r="C6" s="7" t="n">
        <f aca="false">COUNTIFS('화별 개요'!C2:C76,A6,'화별 개요'!H2:H76,"초고완료")+COUNTIFS('화별 개요'!C2:C76,A6,'화별 개요'!H2:H76,"검수완료")</f>
        <v>0</v>
      </c>
      <c r="D6" s="12" t="n">
        <f aca="false">IF(B6=0,0,C6/B6)</f>
        <v>0</v>
      </c>
      <c r="E6" s="7" t="n">
        <f aca="false">SUMIFS('화별 개요'!G2:G76,'화별 개요'!C2:C76,A6)</f>
        <v>1800</v>
      </c>
    </row>
    <row r="7" customFormat="false" ht="15" hidden="false" customHeight="false" outlineLevel="0" collapsed="false">
      <c r="A7" s="17" t="s">
        <v>40</v>
      </c>
      <c r="B7" s="17" t="n">
        <f aca="false">SUM(B2:B6)</f>
        <v>75</v>
      </c>
      <c r="C7" s="17" t="n">
        <f aca="false">SUM(C2:C6)</f>
        <v>0</v>
      </c>
      <c r="D7" s="18" t="n">
        <f aca="false">IF(B7=0,0,C7/B7)</f>
        <v>0</v>
      </c>
      <c r="E7" s="17" t="n">
        <f aca="false">SUM(E2:E6)</f>
        <v>9000</v>
      </c>
    </row>
    <row r="9" customFormat="false" ht="15" hidden="false" customHeight="false" outlineLevel="0" collapsed="false">
      <c r="A9" s="19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3" t="s">
        <v>42</v>
      </c>
      <c r="B1" s="3" t="s">
        <v>43</v>
      </c>
      <c r="C1" s="3" t="s">
        <v>44</v>
      </c>
    </row>
    <row r="2" customFormat="false" ht="15" hidden="false" customHeight="false" outlineLevel="0" collapsed="false">
      <c r="A2" s="5" t="s">
        <v>45</v>
      </c>
      <c r="B2" s="5" t="s">
        <v>46</v>
      </c>
      <c r="C2" s="4" t="s">
        <v>47</v>
      </c>
    </row>
    <row r="3" customFormat="false" ht="15" hidden="false" customHeight="false" outlineLevel="0" collapsed="false">
      <c r="A3" s="5" t="s">
        <v>48</v>
      </c>
      <c r="B3" s="5" t="s">
        <v>49</v>
      </c>
      <c r="C3" s="4" t="s">
        <v>50</v>
      </c>
    </row>
    <row r="4" customFormat="false" ht="15" hidden="false" customHeight="false" outlineLevel="0" collapsed="false">
      <c r="A4" s="5" t="s">
        <v>51</v>
      </c>
      <c r="B4" s="5" t="s">
        <v>52</v>
      </c>
      <c r="C4" s="4" t="s">
        <v>53</v>
      </c>
    </row>
    <row r="5" customFormat="false" ht="15" hidden="false" customHeight="false" outlineLevel="0" collapsed="false">
      <c r="A5" s="5" t="s">
        <v>54</v>
      </c>
      <c r="B5" s="5" t="s">
        <v>55</v>
      </c>
      <c r="C5" s="4" t="s">
        <v>56</v>
      </c>
    </row>
    <row r="6" customFormat="false" ht="15" hidden="false" customHeight="false" outlineLevel="0" collapsed="false">
      <c r="A6" s="5" t="s">
        <v>57</v>
      </c>
      <c r="B6" s="5" t="s">
        <v>58</v>
      </c>
      <c r="C6" s="4" t="s">
        <v>59</v>
      </c>
    </row>
    <row r="7" customFormat="false" ht="15" hidden="false" customHeight="false" outlineLevel="0" collapsed="false">
      <c r="A7" s="5" t="s">
        <v>60</v>
      </c>
      <c r="B7" s="5" t="s">
        <v>61</v>
      </c>
      <c r="C7" s="4" t="s">
        <v>62</v>
      </c>
    </row>
    <row r="8" customFormat="false" ht="15" hidden="false" customHeight="false" outlineLevel="0" collapsed="false">
      <c r="A8" s="5" t="s">
        <v>63</v>
      </c>
      <c r="B8" s="5" t="s">
        <v>64</v>
      </c>
      <c r="C8" s="4" t="s">
        <v>65</v>
      </c>
    </row>
    <row r="9" customFormat="false" ht="15" hidden="false" customHeight="false" outlineLevel="0" collapsed="false">
      <c r="A9" s="5" t="s">
        <v>66</v>
      </c>
      <c r="B9" s="5" t="s">
        <v>67</v>
      </c>
      <c r="C9" s="4" t="s">
        <v>68</v>
      </c>
    </row>
    <row r="10" customFormat="false" ht="15" hidden="false" customHeight="false" outlineLevel="0" collapsed="false">
      <c r="A10" s="5" t="s">
        <v>69</v>
      </c>
      <c r="B10" s="5" t="s">
        <v>70</v>
      </c>
      <c r="C10" s="4" t="s">
        <v>71</v>
      </c>
    </row>
    <row r="11" customFormat="false" ht="15" hidden="false" customHeight="false" outlineLevel="0" collapsed="false">
      <c r="A11" s="5" t="s">
        <v>72</v>
      </c>
      <c r="B11" s="5" t="s">
        <v>73</v>
      </c>
      <c r="C11" s="4" t="s">
        <v>74</v>
      </c>
    </row>
    <row r="12" customFormat="false" ht="15" hidden="false" customHeight="false" outlineLevel="0" collapsed="false">
      <c r="A12" s="5" t="s">
        <v>75</v>
      </c>
      <c r="B12" s="5" t="s">
        <v>76</v>
      </c>
      <c r="C12" s="4" t="s">
        <v>77</v>
      </c>
    </row>
    <row r="13" customFormat="false" ht="15" hidden="false" customHeight="false" outlineLevel="0" collapsed="false">
      <c r="A13" s="5" t="s">
        <v>78</v>
      </c>
      <c r="B13" s="5" t="s">
        <v>79</v>
      </c>
      <c r="C13" s="4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9" min="5" style="0" width="10"/>
  </cols>
  <sheetData>
    <row r="1" customFormat="false" ht="15" hidden="false" customHeight="false" outlineLevel="0" collapsed="false">
      <c r="A1" s="3" t="s">
        <v>31</v>
      </c>
      <c r="B1" s="3" t="s">
        <v>81</v>
      </c>
      <c r="C1" s="3" t="s">
        <v>82</v>
      </c>
      <c r="D1" s="3" t="s">
        <v>83</v>
      </c>
      <c r="E1" s="20" t="s">
        <v>84</v>
      </c>
      <c r="F1" s="20" t="s">
        <v>85</v>
      </c>
      <c r="G1" s="20" t="s">
        <v>86</v>
      </c>
      <c r="H1" s="20" t="s">
        <v>87</v>
      </c>
      <c r="I1" s="21" t="s">
        <v>40</v>
      </c>
    </row>
    <row r="2" customFormat="false" ht="15" hidden="false" customHeight="false" outlineLevel="0" collapsed="false">
      <c r="A2" s="5" t="s">
        <v>88</v>
      </c>
      <c r="B2" s="4" t="s">
        <v>89</v>
      </c>
      <c r="C2" s="4" t="s">
        <v>90</v>
      </c>
      <c r="D2" s="5" t="s">
        <v>91</v>
      </c>
      <c r="E2" s="22" t="n">
        <v>0.45</v>
      </c>
      <c r="F2" s="22" t="n">
        <v>0.35</v>
      </c>
      <c r="G2" s="22" t="n">
        <v>0.15</v>
      </c>
      <c r="H2" s="22" t="n">
        <v>0.05</v>
      </c>
      <c r="I2" s="12" t="n">
        <f aca="false">SUM(E2:H2)</f>
        <v>1</v>
      </c>
    </row>
    <row r="3" customFormat="false" ht="15" hidden="false" customHeight="false" outlineLevel="0" collapsed="false">
      <c r="A3" s="5" t="s">
        <v>92</v>
      </c>
      <c r="B3" s="4" t="s">
        <v>93</v>
      </c>
      <c r="C3" s="4" t="s">
        <v>94</v>
      </c>
      <c r="D3" s="5" t="s">
        <v>95</v>
      </c>
      <c r="E3" s="22" t="n">
        <v>0.25</v>
      </c>
      <c r="F3" s="22" t="n">
        <v>0.4</v>
      </c>
      <c r="G3" s="22" t="n">
        <v>0.25</v>
      </c>
      <c r="H3" s="22" t="n">
        <v>0.1</v>
      </c>
      <c r="I3" s="12" t="n">
        <f aca="false">SUM(E3:H3)</f>
        <v>1</v>
      </c>
    </row>
    <row r="4" customFormat="false" ht="15" hidden="false" customHeight="false" outlineLevel="0" collapsed="false">
      <c r="A4" s="5" t="s">
        <v>96</v>
      </c>
      <c r="B4" s="4" t="s">
        <v>97</v>
      </c>
      <c r="C4" s="4" t="s">
        <v>98</v>
      </c>
      <c r="D4" s="5" t="s">
        <v>95</v>
      </c>
      <c r="E4" s="22" t="n">
        <v>0.15</v>
      </c>
      <c r="F4" s="22" t="n">
        <v>0.35</v>
      </c>
      <c r="G4" s="22" t="n">
        <v>0.35</v>
      </c>
      <c r="H4" s="22" t="n">
        <v>0.15</v>
      </c>
      <c r="I4" s="12" t="n">
        <f aca="false">SUM(E4:H4)</f>
        <v>1</v>
      </c>
    </row>
    <row r="5" customFormat="false" ht="15" hidden="false" customHeight="false" outlineLevel="0" collapsed="false">
      <c r="A5" s="5" t="s">
        <v>99</v>
      </c>
      <c r="B5" s="4" t="s">
        <v>100</v>
      </c>
      <c r="C5" s="4" t="s">
        <v>101</v>
      </c>
      <c r="D5" s="5" t="s">
        <v>102</v>
      </c>
      <c r="E5" s="22" t="n">
        <v>0.1</v>
      </c>
      <c r="F5" s="22" t="n">
        <v>0.25</v>
      </c>
      <c r="G5" s="22" t="n">
        <v>0.4</v>
      </c>
      <c r="H5" s="22" t="n">
        <v>0.25</v>
      </c>
      <c r="I5" s="12" t="n">
        <f aca="false">SUM(E5:H5)</f>
        <v>1</v>
      </c>
    </row>
    <row r="6" customFormat="false" ht="15" hidden="false" customHeight="false" outlineLevel="0" collapsed="false">
      <c r="A6" s="5" t="s">
        <v>103</v>
      </c>
      <c r="B6" s="4" t="s">
        <v>104</v>
      </c>
      <c r="C6" s="4" t="s">
        <v>105</v>
      </c>
      <c r="D6" s="5" t="s">
        <v>102</v>
      </c>
      <c r="E6" s="22" t="n">
        <v>0.05</v>
      </c>
      <c r="F6" s="22" t="n">
        <v>0.2</v>
      </c>
      <c r="G6" s="22" t="n">
        <v>0.4</v>
      </c>
      <c r="H6" s="22" t="n">
        <v>0.35</v>
      </c>
      <c r="I6" s="12" t="n">
        <f aca="false">SUM(E6:H6)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60"/>
    <col collapsed="false" customWidth="true" hidden="false" outlineLevel="0" max="6" min="6" style="0" width="48"/>
    <col collapsed="false" customWidth="true" hidden="false" outlineLevel="0" max="7" min="7" style="0" width="8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3" t="s">
        <v>106</v>
      </c>
      <c r="B1" s="3" t="s">
        <v>107</v>
      </c>
      <c r="C1" s="3" t="s">
        <v>31</v>
      </c>
      <c r="D1" s="3" t="s">
        <v>18</v>
      </c>
      <c r="E1" s="3" t="s">
        <v>108</v>
      </c>
      <c r="F1" s="3" t="s">
        <v>109</v>
      </c>
      <c r="G1" s="3" t="s">
        <v>110</v>
      </c>
      <c r="H1" s="3" t="s">
        <v>111</v>
      </c>
    </row>
    <row r="2" customFormat="false" ht="15" hidden="false" customHeight="false" outlineLevel="0" collapsed="false">
      <c r="A2" s="23" t="n">
        <v>1</v>
      </c>
      <c r="B2" s="24" t="s">
        <v>112</v>
      </c>
      <c r="C2" s="24" t="s">
        <v>35</v>
      </c>
      <c r="D2" s="24" t="s">
        <v>91</v>
      </c>
      <c r="E2" s="25" t="s">
        <v>113</v>
      </c>
      <c r="F2" s="25" t="s">
        <v>114</v>
      </c>
      <c r="G2" s="26" t="n">
        <v>120</v>
      </c>
      <c r="H2" s="27" t="s">
        <v>115</v>
      </c>
    </row>
    <row r="3" customFormat="false" ht="15" hidden="false" customHeight="false" outlineLevel="0" collapsed="false">
      <c r="A3" s="23" t="n">
        <v>2</v>
      </c>
      <c r="B3" s="24" t="s">
        <v>116</v>
      </c>
      <c r="C3" s="24" t="s">
        <v>35</v>
      </c>
      <c r="D3" s="24" t="s">
        <v>91</v>
      </c>
      <c r="E3" s="25" t="s">
        <v>117</v>
      </c>
      <c r="F3" s="25" t="s">
        <v>118</v>
      </c>
      <c r="G3" s="26" t="n">
        <v>120</v>
      </c>
      <c r="H3" s="27" t="s">
        <v>115</v>
      </c>
    </row>
    <row r="4" customFormat="false" ht="15" hidden="false" customHeight="false" outlineLevel="0" collapsed="false">
      <c r="A4" s="23" t="n">
        <v>3</v>
      </c>
      <c r="B4" s="24" t="s">
        <v>119</v>
      </c>
      <c r="C4" s="24" t="s">
        <v>35</v>
      </c>
      <c r="D4" s="24" t="s">
        <v>91</v>
      </c>
      <c r="E4" s="25" t="s">
        <v>120</v>
      </c>
      <c r="F4" s="25" t="s">
        <v>121</v>
      </c>
      <c r="G4" s="26" t="n">
        <v>120</v>
      </c>
      <c r="H4" s="27" t="s">
        <v>115</v>
      </c>
    </row>
    <row r="5" customFormat="false" ht="15" hidden="false" customHeight="false" outlineLevel="0" collapsed="false">
      <c r="A5" s="23" t="n">
        <v>4</v>
      </c>
      <c r="B5" s="24" t="s">
        <v>122</v>
      </c>
      <c r="C5" s="24" t="s">
        <v>35</v>
      </c>
      <c r="D5" s="24" t="s">
        <v>91</v>
      </c>
      <c r="E5" s="25" t="s">
        <v>123</v>
      </c>
      <c r="F5" s="25" t="s">
        <v>124</v>
      </c>
      <c r="G5" s="26" t="n">
        <v>120</v>
      </c>
      <c r="H5" s="27" t="s">
        <v>115</v>
      </c>
    </row>
    <row r="6" customFormat="false" ht="15" hidden="false" customHeight="false" outlineLevel="0" collapsed="false">
      <c r="A6" s="23" t="n">
        <v>5</v>
      </c>
      <c r="B6" s="24" t="s">
        <v>125</v>
      </c>
      <c r="C6" s="24" t="s">
        <v>35</v>
      </c>
      <c r="D6" s="24" t="s">
        <v>91</v>
      </c>
      <c r="E6" s="25" t="s">
        <v>126</v>
      </c>
      <c r="F6" s="25" t="s">
        <v>127</v>
      </c>
      <c r="G6" s="26" t="n">
        <v>120</v>
      </c>
      <c r="H6" s="27" t="s">
        <v>115</v>
      </c>
    </row>
    <row r="7" customFormat="false" ht="15" hidden="false" customHeight="false" outlineLevel="0" collapsed="false">
      <c r="A7" s="23" t="n">
        <v>6</v>
      </c>
      <c r="B7" s="24" t="s">
        <v>128</v>
      </c>
      <c r="C7" s="24" t="s">
        <v>35</v>
      </c>
      <c r="D7" s="24" t="s">
        <v>91</v>
      </c>
      <c r="E7" s="24" t="s">
        <v>129</v>
      </c>
      <c r="F7" s="25" t="s">
        <v>130</v>
      </c>
      <c r="G7" s="26" t="n">
        <v>120</v>
      </c>
      <c r="H7" s="27" t="s">
        <v>115</v>
      </c>
    </row>
    <row r="8" customFormat="false" ht="15" hidden="false" customHeight="false" outlineLevel="0" collapsed="false">
      <c r="A8" s="23" t="n">
        <v>7</v>
      </c>
      <c r="B8" s="24" t="s">
        <v>131</v>
      </c>
      <c r="C8" s="24" t="s">
        <v>35</v>
      </c>
      <c r="D8" s="24" t="s">
        <v>91</v>
      </c>
      <c r="E8" s="25" t="s">
        <v>132</v>
      </c>
      <c r="F8" s="25" t="s">
        <v>133</v>
      </c>
      <c r="G8" s="26" t="n">
        <v>120</v>
      </c>
      <c r="H8" s="27" t="s">
        <v>115</v>
      </c>
    </row>
    <row r="9" customFormat="false" ht="15" hidden="false" customHeight="false" outlineLevel="0" collapsed="false">
      <c r="A9" s="23" t="n">
        <v>8</v>
      </c>
      <c r="B9" s="24" t="s">
        <v>134</v>
      </c>
      <c r="C9" s="24" t="s">
        <v>35</v>
      </c>
      <c r="D9" s="24" t="s">
        <v>91</v>
      </c>
      <c r="E9" s="25" t="s">
        <v>135</v>
      </c>
      <c r="F9" s="25" t="s">
        <v>136</v>
      </c>
      <c r="G9" s="26" t="n">
        <v>120</v>
      </c>
      <c r="H9" s="27" t="s">
        <v>115</v>
      </c>
    </row>
    <row r="10" customFormat="false" ht="15" hidden="false" customHeight="false" outlineLevel="0" collapsed="false">
      <c r="A10" s="23" t="n">
        <v>9</v>
      </c>
      <c r="B10" s="24" t="s">
        <v>137</v>
      </c>
      <c r="C10" s="24" t="s">
        <v>35</v>
      </c>
      <c r="D10" s="24" t="s">
        <v>91</v>
      </c>
      <c r="E10" s="25" t="s">
        <v>138</v>
      </c>
      <c r="F10" s="25" t="s">
        <v>139</v>
      </c>
      <c r="G10" s="26" t="n">
        <v>120</v>
      </c>
      <c r="H10" s="27" t="s">
        <v>115</v>
      </c>
    </row>
    <row r="11" customFormat="false" ht="15" hidden="false" customHeight="false" outlineLevel="0" collapsed="false">
      <c r="A11" s="23" t="n">
        <v>10</v>
      </c>
      <c r="B11" s="24" t="s">
        <v>140</v>
      </c>
      <c r="C11" s="24" t="s">
        <v>35</v>
      </c>
      <c r="D11" s="24" t="s">
        <v>91</v>
      </c>
      <c r="E11" s="24" t="s">
        <v>141</v>
      </c>
      <c r="F11" s="25" t="s">
        <v>142</v>
      </c>
      <c r="G11" s="26" t="n">
        <v>120</v>
      </c>
      <c r="H11" s="27" t="s">
        <v>115</v>
      </c>
    </row>
    <row r="12" customFormat="false" ht="15" hidden="false" customHeight="false" outlineLevel="0" collapsed="false">
      <c r="A12" s="23" t="n">
        <v>11</v>
      </c>
      <c r="B12" s="24" t="s">
        <v>143</v>
      </c>
      <c r="C12" s="24" t="s">
        <v>35</v>
      </c>
      <c r="D12" s="24" t="s">
        <v>91</v>
      </c>
      <c r="E12" s="24" t="s">
        <v>144</v>
      </c>
      <c r="F12" s="25" t="s">
        <v>145</v>
      </c>
      <c r="G12" s="26" t="n">
        <v>120</v>
      </c>
      <c r="H12" s="27" t="s">
        <v>115</v>
      </c>
    </row>
    <row r="13" customFormat="false" ht="15" hidden="false" customHeight="false" outlineLevel="0" collapsed="false">
      <c r="A13" s="23" t="n">
        <v>12</v>
      </c>
      <c r="B13" s="24" t="s">
        <v>146</v>
      </c>
      <c r="C13" s="24" t="s">
        <v>35</v>
      </c>
      <c r="D13" s="24" t="s">
        <v>91</v>
      </c>
      <c r="E13" s="24" t="s">
        <v>147</v>
      </c>
      <c r="F13" s="25" t="s">
        <v>148</v>
      </c>
      <c r="G13" s="26" t="n">
        <v>120</v>
      </c>
      <c r="H13" s="27" t="s">
        <v>115</v>
      </c>
    </row>
    <row r="14" customFormat="false" ht="15" hidden="false" customHeight="false" outlineLevel="0" collapsed="false">
      <c r="A14" s="23" t="n">
        <v>13</v>
      </c>
      <c r="B14" s="24" t="s">
        <v>149</v>
      </c>
      <c r="C14" s="24" t="s">
        <v>35</v>
      </c>
      <c r="D14" s="24" t="s">
        <v>91</v>
      </c>
      <c r="E14" s="25" t="s">
        <v>150</v>
      </c>
      <c r="F14" s="25" t="s">
        <v>151</v>
      </c>
      <c r="G14" s="26" t="n">
        <v>120</v>
      </c>
      <c r="H14" s="27" t="s">
        <v>115</v>
      </c>
    </row>
    <row r="15" customFormat="false" ht="15" hidden="false" customHeight="false" outlineLevel="0" collapsed="false">
      <c r="A15" s="23" t="n">
        <v>14</v>
      </c>
      <c r="B15" s="24" t="s">
        <v>152</v>
      </c>
      <c r="C15" s="24" t="s">
        <v>35</v>
      </c>
      <c r="D15" s="24" t="s">
        <v>91</v>
      </c>
      <c r="E15" s="25" t="s">
        <v>153</v>
      </c>
      <c r="F15" s="25" t="s">
        <v>154</v>
      </c>
      <c r="G15" s="26" t="n">
        <v>120</v>
      </c>
      <c r="H15" s="27" t="s">
        <v>115</v>
      </c>
    </row>
    <row r="16" customFormat="false" ht="15" hidden="false" customHeight="false" outlineLevel="0" collapsed="false">
      <c r="A16" s="23" t="n">
        <v>15</v>
      </c>
      <c r="B16" s="24" t="s">
        <v>155</v>
      </c>
      <c r="C16" s="24" t="s">
        <v>35</v>
      </c>
      <c r="D16" s="24" t="s">
        <v>91</v>
      </c>
      <c r="E16" s="25" t="s">
        <v>156</v>
      </c>
      <c r="F16" s="25" t="s">
        <v>157</v>
      </c>
      <c r="G16" s="26" t="n">
        <v>120</v>
      </c>
      <c r="H16" s="27" t="s">
        <v>115</v>
      </c>
    </row>
    <row r="17" customFormat="false" ht="15" hidden="false" customHeight="false" outlineLevel="0" collapsed="false">
      <c r="A17" s="28" t="n">
        <v>16</v>
      </c>
      <c r="B17" s="29" t="s">
        <v>158</v>
      </c>
      <c r="C17" s="29" t="s">
        <v>36</v>
      </c>
      <c r="D17" s="29" t="s">
        <v>95</v>
      </c>
      <c r="E17" s="30" t="s">
        <v>159</v>
      </c>
      <c r="F17" s="30" t="s">
        <v>160</v>
      </c>
      <c r="G17" s="31" t="n">
        <v>120</v>
      </c>
      <c r="H17" s="32" t="s">
        <v>115</v>
      </c>
    </row>
    <row r="18" customFormat="false" ht="15" hidden="false" customHeight="false" outlineLevel="0" collapsed="false">
      <c r="A18" s="28" t="n">
        <v>17</v>
      </c>
      <c r="B18" s="29" t="s">
        <v>161</v>
      </c>
      <c r="C18" s="29" t="s">
        <v>36</v>
      </c>
      <c r="D18" s="29" t="s">
        <v>95</v>
      </c>
      <c r="E18" s="30" t="s">
        <v>162</v>
      </c>
      <c r="F18" s="30" t="s">
        <v>163</v>
      </c>
      <c r="G18" s="31" t="n">
        <v>120</v>
      </c>
      <c r="H18" s="32" t="s">
        <v>115</v>
      </c>
    </row>
    <row r="19" customFormat="false" ht="15" hidden="false" customHeight="false" outlineLevel="0" collapsed="false">
      <c r="A19" s="28" t="n">
        <v>18</v>
      </c>
      <c r="B19" s="29" t="s">
        <v>164</v>
      </c>
      <c r="C19" s="29" t="s">
        <v>36</v>
      </c>
      <c r="D19" s="29" t="s">
        <v>95</v>
      </c>
      <c r="E19" s="29" t="s">
        <v>165</v>
      </c>
      <c r="F19" s="30" t="s">
        <v>166</v>
      </c>
      <c r="G19" s="31" t="n">
        <v>120</v>
      </c>
      <c r="H19" s="32" t="s">
        <v>115</v>
      </c>
    </row>
    <row r="20" customFormat="false" ht="15" hidden="false" customHeight="false" outlineLevel="0" collapsed="false">
      <c r="A20" s="28" t="n">
        <v>19</v>
      </c>
      <c r="B20" s="29" t="s">
        <v>167</v>
      </c>
      <c r="C20" s="29" t="s">
        <v>36</v>
      </c>
      <c r="D20" s="29" t="s">
        <v>95</v>
      </c>
      <c r="E20" s="30" t="s">
        <v>168</v>
      </c>
      <c r="F20" s="30" t="s">
        <v>169</v>
      </c>
      <c r="G20" s="31" t="n">
        <v>120</v>
      </c>
      <c r="H20" s="32" t="s">
        <v>115</v>
      </c>
    </row>
    <row r="21" customFormat="false" ht="15" hidden="false" customHeight="false" outlineLevel="0" collapsed="false">
      <c r="A21" s="28" t="n">
        <v>20</v>
      </c>
      <c r="B21" s="29" t="s">
        <v>170</v>
      </c>
      <c r="C21" s="29" t="s">
        <v>36</v>
      </c>
      <c r="D21" s="29" t="s">
        <v>95</v>
      </c>
      <c r="E21" s="30" t="s">
        <v>171</v>
      </c>
      <c r="F21" s="30" t="s">
        <v>172</v>
      </c>
      <c r="G21" s="31" t="n">
        <v>120</v>
      </c>
      <c r="H21" s="32" t="s">
        <v>115</v>
      </c>
    </row>
    <row r="22" customFormat="false" ht="15" hidden="false" customHeight="false" outlineLevel="0" collapsed="false">
      <c r="A22" s="28" t="n">
        <v>21</v>
      </c>
      <c r="B22" s="29" t="s">
        <v>173</v>
      </c>
      <c r="C22" s="29" t="s">
        <v>36</v>
      </c>
      <c r="D22" s="29" t="s">
        <v>95</v>
      </c>
      <c r="E22" s="30" t="s">
        <v>174</v>
      </c>
      <c r="F22" s="30" t="s">
        <v>175</v>
      </c>
      <c r="G22" s="31" t="n">
        <v>120</v>
      </c>
      <c r="H22" s="32" t="s">
        <v>115</v>
      </c>
    </row>
    <row r="23" customFormat="false" ht="15" hidden="false" customHeight="false" outlineLevel="0" collapsed="false">
      <c r="A23" s="28" t="n">
        <v>22</v>
      </c>
      <c r="B23" s="29" t="s">
        <v>176</v>
      </c>
      <c r="C23" s="29" t="s">
        <v>36</v>
      </c>
      <c r="D23" s="29" t="s">
        <v>95</v>
      </c>
      <c r="E23" s="30" t="s">
        <v>177</v>
      </c>
      <c r="F23" s="30" t="s">
        <v>178</v>
      </c>
      <c r="G23" s="31" t="n">
        <v>120</v>
      </c>
      <c r="H23" s="32" t="s">
        <v>115</v>
      </c>
    </row>
    <row r="24" customFormat="false" ht="15" hidden="false" customHeight="false" outlineLevel="0" collapsed="false">
      <c r="A24" s="28" t="n">
        <v>23</v>
      </c>
      <c r="B24" s="29" t="s">
        <v>179</v>
      </c>
      <c r="C24" s="29" t="s">
        <v>36</v>
      </c>
      <c r="D24" s="29" t="s">
        <v>95</v>
      </c>
      <c r="E24" s="30" t="s">
        <v>180</v>
      </c>
      <c r="F24" s="30" t="s">
        <v>181</v>
      </c>
      <c r="G24" s="31" t="n">
        <v>120</v>
      </c>
      <c r="H24" s="32" t="s">
        <v>115</v>
      </c>
    </row>
    <row r="25" customFormat="false" ht="15" hidden="false" customHeight="false" outlineLevel="0" collapsed="false">
      <c r="A25" s="28" t="n">
        <v>24</v>
      </c>
      <c r="B25" s="29" t="s">
        <v>182</v>
      </c>
      <c r="C25" s="29" t="s">
        <v>36</v>
      </c>
      <c r="D25" s="29" t="s">
        <v>95</v>
      </c>
      <c r="E25" s="30" t="s">
        <v>183</v>
      </c>
      <c r="F25" s="30" t="s">
        <v>184</v>
      </c>
      <c r="G25" s="31" t="n">
        <v>120</v>
      </c>
      <c r="H25" s="32" t="s">
        <v>115</v>
      </c>
    </row>
    <row r="26" customFormat="false" ht="15" hidden="false" customHeight="false" outlineLevel="0" collapsed="false">
      <c r="A26" s="28" t="n">
        <v>25</v>
      </c>
      <c r="B26" s="29" t="s">
        <v>185</v>
      </c>
      <c r="C26" s="29" t="s">
        <v>36</v>
      </c>
      <c r="D26" s="29" t="s">
        <v>95</v>
      </c>
      <c r="E26" s="29" t="s">
        <v>186</v>
      </c>
      <c r="F26" s="30" t="s">
        <v>187</v>
      </c>
      <c r="G26" s="31" t="n">
        <v>120</v>
      </c>
      <c r="H26" s="32" t="s">
        <v>115</v>
      </c>
    </row>
    <row r="27" customFormat="false" ht="15" hidden="false" customHeight="false" outlineLevel="0" collapsed="false">
      <c r="A27" s="28" t="n">
        <v>26</v>
      </c>
      <c r="B27" s="29" t="s">
        <v>188</v>
      </c>
      <c r="C27" s="29" t="s">
        <v>36</v>
      </c>
      <c r="D27" s="29" t="s">
        <v>95</v>
      </c>
      <c r="E27" s="30" t="s">
        <v>189</v>
      </c>
      <c r="F27" s="30" t="s">
        <v>190</v>
      </c>
      <c r="G27" s="31" t="n">
        <v>120</v>
      </c>
      <c r="H27" s="32" t="s">
        <v>115</v>
      </c>
    </row>
    <row r="28" customFormat="false" ht="15" hidden="false" customHeight="false" outlineLevel="0" collapsed="false">
      <c r="A28" s="28" t="n">
        <v>27</v>
      </c>
      <c r="B28" s="29" t="s">
        <v>191</v>
      </c>
      <c r="C28" s="29" t="s">
        <v>36</v>
      </c>
      <c r="D28" s="29" t="s">
        <v>95</v>
      </c>
      <c r="E28" s="30" t="s">
        <v>192</v>
      </c>
      <c r="F28" s="30" t="s">
        <v>193</v>
      </c>
      <c r="G28" s="31" t="n">
        <v>120</v>
      </c>
      <c r="H28" s="32" t="s">
        <v>115</v>
      </c>
    </row>
    <row r="29" customFormat="false" ht="15" hidden="false" customHeight="false" outlineLevel="0" collapsed="false">
      <c r="A29" s="28" t="n">
        <v>28</v>
      </c>
      <c r="B29" s="29" t="s">
        <v>194</v>
      </c>
      <c r="C29" s="29" t="s">
        <v>36</v>
      </c>
      <c r="D29" s="29" t="s">
        <v>95</v>
      </c>
      <c r="E29" s="30" t="s">
        <v>195</v>
      </c>
      <c r="F29" s="30" t="s">
        <v>196</v>
      </c>
      <c r="G29" s="31" t="n">
        <v>120</v>
      </c>
      <c r="H29" s="32" t="s">
        <v>115</v>
      </c>
    </row>
    <row r="30" customFormat="false" ht="15" hidden="false" customHeight="false" outlineLevel="0" collapsed="false">
      <c r="A30" s="28" t="n">
        <v>29</v>
      </c>
      <c r="B30" s="29" t="s">
        <v>197</v>
      </c>
      <c r="C30" s="29" t="s">
        <v>36</v>
      </c>
      <c r="D30" s="29" t="s">
        <v>95</v>
      </c>
      <c r="E30" s="30" t="s">
        <v>198</v>
      </c>
      <c r="F30" s="30" t="s">
        <v>199</v>
      </c>
      <c r="G30" s="31" t="n">
        <v>120</v>
      </c>
      <c r="H30" s="32" t="s">
        <v>115</v>
      </c>
    </row>
    <row r="31" customFormat="false" ht="15" hidden="false" customHeight="false" outlineLevel="0" collapsed="false">
      <c r="A31" s="28" t="n">
        <v>30</v>
      </c>
      <c r="B31" s="29" t="s">
        <v>200</v>
      </c>
      <c r="C31" s="29" t="s">
        <v>36</v>
      </c>
      <c r="D31" s="29" t="s">
        <v>95</v>
      </c>
      <c r="E31" s="30" t="s">
        <v>201</v>
      </c>
      <c r="F31" s="30" t="s">
        <v>202</v>
      </c>
      <c r="G31" s="31" t="n">
        <v>120</v>
      </c>
      <c r="H31" s="32" t="s">
        <v>115</v>
      </c>
    </row>
    <row r="32" customFormat="false" ht="15" hidden="false" customHeight="false" outlineLevel="0" collapsed="false">
      <c r="A32" s="33" t="n">
        <v>31</v>
      </c>
      <c r="B32" s="34" t="s">
        <v>203</v>
      </c>
      <c r="C32" s="34" t="s">
        <v>37</v>
      </c>
      <c r="D32" s="34" t="s">
        <v>95</v>
      </c>
      <c r="E32" s="35" t="s">
        <v>204</v>
      </c>
      <c r="F32" s="34" t="s">
        <v>205</v>
      </c>
      <c r="G32" s="36" t="n">
        <v>120</v>
      </c>
      <c r="H32" s="37" t="s">
        <v>115</v>
      </c>
    </row>
    <row r="33" customFormat="false" ht="15" hidden="false" customHeight="false" outlineLevel="0" collapsed="false">
      <c r="A33" s="33" t="n">
        <v>32</v>
      </c>
      <c r="B33" s="34" t="s">
        <v>206</v>
      </c>
      <c r="C33" s="34" t="s">
        <v>37</v>
      </c>
      <c r="D33" s="34" t="s">
        <v>95</v>
      </c>
      <c r="E33" s="35" t="s">
        <v>207</v>
      </c>
      <c r="F33" s="35" t="s">
        <v>208</v>
      </c>
      <c r="G33" s="36" t="n">
        <v>120</v>
      </c>
      <c r="H33" s="37" t="s">
        <v>115</v>
      </c>
    </row>
    <row r="34" customFormat="false" ht="15" hidden="false" customHeight="false" outlineLevel="0" collapsed="false">
      <c r="A34" s="33" t="n">
        <v>33</v>
      </c>
      <c r="B34" s="34" t="s">
        <v>209</v>
      </c>
      <c r="C34" s="34" t="s">
        <v>37</v>
      </c>
      <c r="D34" s="34" t="s">
        <v>95</v>
      </c>
      <c r="E34" s="35" t="s">
        <v>210</v>
      </c>
      <c r="F34" s="35" t="s">
        <v>211</v>
      </c>
      <c r="G34" s="36" t="n">
        <v>120</v>
      </c>
      <c r="H34" s="37" t="s">
        <v>115</v>
      </c>
    </row>
    <row r="35" customFormat="false" ht="15" hidden="false" customHeight="false" outlineLevel="0" collapsed="false">
      <c r="A35" s="33" t="n">
        <v>34</v>
      </c>
      <c r="B35" s="34" t="s">
        <v>212</v>
      </c>
      <c r="C35" s="34" t="s">
        <v>37</v>
      </c>
      <c r="D35" s="34" t="s">
        <v>95</v>
      </c>
      <c r="E35" s="35" t="s">
        <v>213</v>
      </c>
      <c r="F35" s="35" t="s">
        <v>214</v>
      </c>
      <c r="G35" s="36" t="n">
        <v>120</v>
      </c>
      <c r="H35" s="37" t="s">
        <v>115</v>
      </c>
    </row>
    <row r="36" customFormat="false" ht="15" hidden="false" customHeight="false" outlineLevel="0" collapsed="false">
      <c r="A36" s="33" t="n">
        <v>35</v>
      </c>
      <c r="B36" s="34" t="s">
        <v>215</v>
      </c>
      <c r="C36" s="34" t="s">
        <v>37</v>
      </c>
      <c r="D36" s="34" t="s">
        <v>95</v>
      </c>
      <c r="E36" s="35" t="s">
        <v>216</v>
      </c>
      <c r="F36" s="35" t="s">
        <v>217</v>
      </c>
      <c r="G36" s="36" t="n">
        <v>120</v>
      </c>
      <c r="H36" s="37" t="s">
        <v>115</v>
      </c>
    </row>
    <row r="37" customFormat="false" ht="15" hidden="false" customHeight="false" outlineLevel="0" collapsed="false">
      <c r="A37" s="33" t="n">
        <v>36</v>
      </c>
      <c r="B37" s="34" t="s">
        <v>218</v>
      </c>
      <c r="C37" s="34" t="s">
        <v>37</v>
      </c>
      <c r="D37" s="34" t="s">
        <v>95</v>
      </c>
      <c r="E37" s="35" t="s">
        <v>219</v>
      </c>
      <c r="F37" s="35" t="s">
        <v>220</v>
      </c>
      <c r="G37" s="36" t="n">
        <v>120</v>
      </c>
      <c r="H37" s="37" t="s">
        <v>115</v>
      </c>
    </row>
    <row r="38" customFormat="false" ht="15" hidden="false" customHeight="false" outlineLevel="0" collapsed="false">
      <c r="A38" s="33" t="n">
        <v>37</v>
      </c>
      <c r="B38" s="34" t="s">
        <v>221</v>
      </c>
      <c r="C38" s="34" t="s">
        <v>37</v>
      </c>
      <c r="D38" s="34" t="s">
        <v>95</v>
      </c>
      <c r="E38" s="35" t="s">
        <v>222</v>
      </c>
      <c r="F38" s="35" t="s">
        <v>223</v>
      </c>
      <c r="G38" s="36" t="n">
        <v>120</v>
      </c>
      <c r="H38" s="37" t="s">
        <v>115</v>
      </c>
    </row>
    <row r="39" customFormat="false" ht="15" hidden="false" customHeight="false" outlineLevel="0" collapsed="false">
      <c r="A39" s="33" t="n">
        <v>38</v>
      </c>
      <c r="B39" s="34" t="s">
        <v>224</v>
      </c>
      <c r="C39" s="34" t="s">
        <v>37</v>
      </c>
      <c r="D39" s="34" t="s">
        <v>95</v>
      </c>
      <c r="E39" s="35" t="s">
        <v>225</v>
      </c>
      <c r="F39" s="35" t="s">
        <v>226</v>
      </c>
      <c r="G39" s="36" t="n">
        <v>120</v>
      </c>
      <c r="H39" s="37" t="s">
        <v>115</v>
      </c>
    </row>
    <row r="40" customFormat="false" ht="15" hidden="false" customHeight="false" outlineLevel="0" collapsed="false">
      <c r="A40" s="33" t="n">
        <v>39</v>
      </c>
      <c r="B40" s="34" t="s">
        <v>227</v>
      </c>
      <c r="C40" s="34" t="s">
        <v>37</v>
      </c>
      <c r="D40" s="34" t="s">
        <v>95</v>
      </c>
      <c r="E40" s="35" t="s">
        <v>228</v>
      </c>
      <c r="F40" s="35" t="s">
        <v>229</v>
      </c>
      <c r="G40" s="36" t="n">
        <v>120</v>
      </c>
      <c r="H40" s="37" t="s">
        <v>115</v>
      </c>
    </row>
    <row r="41" customFormat="false" ht="15" hidden="false" customHeight="false" outlineLevel="0" collapsed="false">
      <c r="A41" s="33" t="n">
        <v>40</v>
      </c>
      <c r="B41" s="34" t="s">
        <v>230</v>
      </c>
      <c r="C41" s="34" t="s">
        <v>37</v>
      </c>
      <c r="D41" s="34" t="s">
        <v>95</v>
      </c>
      <c r="E41" s="35" t="s">
        <v>231</v>
      </c>
      <c r="F41" s="35" t="s">
        <v>232</v>
      </c>
      <c r="G41" s="36" t="n">
        <v>120</v>
      </c>
      <c r="H41" s="37" t="s">
        <v>115</v>
      </c>
    </row>
    <row r="42" customFormat="false" ht="15" hidden="false" customHeight="false" outlineLevel="0" collapsed="false">
      <c r="A42" s="33" t="n">
        <v>41</v>
      </c>
      <c r="B42" s="34" t="s">
        <v>233</v>
      </c>
      <c r="C42" s="34" t="s">
        <v>37</v>
      </c>
      <c r="D42" s="34" t="s">
        <v>95</v>
      </c>
      <c r="E42" s="34" t="s">
        <v>234</v>
      </c>
      <c r="F42" s="35" t="s">
        <v>235</v>
      </c>
      <c r="G42" s="36" t="n">
        <v>120</v>
      </c>
      <c r="H42" s="37" t="s">
        <v>115</v>
      </c>
    </row>
    <row r="43" customFormat="false" ht="15" hidden="false" customHeight="false" outlineLevel="0" collapsed="false">
      <c r="A43" s="33" t="n">
        <v>42</v>
      </c>
      <c r="B43" s="34" t="s">
        <v>236</v>
      </c>
      <c r="C43" s="34" t="s">
        <v>37</v>
      </c>
      <c r="D43" s="34" t="s">
        <v>95</v>
      </c>
      <c r="E43" s="35" t="s">
        <v>237</v>
      </c>
      <c r="F43" s="35" t="s">
        <v>238</v>
      </c>
      <c r="G43" s="36" t="n">
        <v>120</v>
      </c>
      <c r="H43" s="37" t="s">
        <v>115</v>
      </c>
    </row>
    <row r="44" customFormat="false" ht="15" hidden="false" customHeight="false" outlineLevel="0" collapsed="false">
      <c r="A44" s="33" t="n">
        <v>43</v>
      </c>
      <c r="B44" s="34" t="s">
        <v>239</v>
      </c>
      <c r="C44" s="34" t="s">
        <v>37</v>
      </c>
      <c r="D44" s="34" t="s">
        <v>95</v>
      </c>
      <c r="E44" s="35" t="s">
        <v>240</v>
      </c>
      <c r="F44" s="35" t="s">
        <v>241</v>
      </c>
      <c r="G44" s="36" t="n">
        <v>120</v>
      </c>
      <c r="H44" s="37" t="s">
        <v>115</v>
      </c>
    </row>
    <row r="45" customFormat="false" ht="15" hidden="false" customHeight="false" outlineLevel="0" collapsed="false">
      <c r="A45" s="33" t="n">
        <v>44</v>
      </c>
      <c r="B45" s="34" t="s">
        <v>242</v>
      </c>
      <c r="C45" s="34" t="s">
        <v>37</v>
      </c>
      <c r="D45" s="34" t="s">
        <v>95</v>
      </c>
      <c r="E45" s="35" t="s">
        <v>243</v>
      </c>
      <c r="F45" s="35" t="s">
        <v>244</v>
      </c>
      <c r="G45" s="36" t="n">
        <v>120</v>
      </c>
      <c r="H45" s="37" t="s">
        <v>115</v>
      </c>
    </row>
    <row r="46" customFormat="false" ht="15" hidden="false" customHeight="false" outlineLevel="0" collapsed="false">
      <c r="A46" s="33" t="n">
        <v>45</v>
      </c>
      <c r="B46" s="34" t="s">
        <v>245</v>
      </c>
      <c r="C46" s="34" t="s">
        <v>37</v>
      </c>
      <c r="D46" s="34" t="s">
        <v>95</v>
      </c>
      <c r="E46" s="35" t="s">
        <v>246</v>
      </c>
      <c r="F46" s="35" t="s">
        <v>247</v>
      </c>
      <c r="G46" s="36" t="n">
        <v>120</v>
      </c>
      <c r="H46" s="37" t="s">
        <v>115</v>
      </c>
    </row>
    <row r="47" customFormat="false" ht="15" hidden="false" customHeight="false" outlineLevel="0" collapsed="false">
      <c r="A47" s="38" t="n">
        <v>46</v>
      </c>
      <c r="B47" s="39" t="s">
        <v>248</v>
      </c>
      <c r="C47" s="39" t="s">
        <v>38</v>
      </c>
      <c r="D47" s="39" t="s">
        <v>102</v>
      </c>
      <c r="E47" s="39" t="s">
        <v>249</v>
      </c>
      <c r="F47" s="40" t="s">
        <v>250</v>
      </c>
      <c r="G47" s="41" t="n">
        <v>120</v>
      </c>
      <c r="H47" s="42" t="s">
        <v>115</v>
      </c>
    </row>
    <row r="48" customFormat="false" ht="15" hidden="false" customHeight="false" outlineLevel="0" collapsed="false">
      <c r="A48" s="38" t="n">
        <v>47</v>
      </c>
      <c r="B48" s="39" t="s">
        <v>251</v>
      </c>
      <c r="C48" s="39" t="s">
        <v>38</v>
      </c>
      <c r="D48" s="39" t="s">
        <v>102</v>
      </c>
      <c r="E48" s="40" t="s">
        <v>252</v>
      </c>
      <c r="F48" s="40" t="s">
        <v>253</v>
      </c>
      <c r="G48" s="41" t="n">
        <v>120</v>
      </c>
      <c r="H48" s="42" t="s">
        <v>115</v>
      </c>
    </row>
    <row r="49" customFormat="false" ht="15" hidden="false" customHeight="false" outlineLevel="0" collapsed="false">
      <c r="A49" s="38" t="n">
        <v>48</v>
      </c>
      <c r="B49" s="39" t="s">
        <v>254</v>
      </c>
      <c r="C49" s="39" t="s">
        <v>38</v>
      </c>
      <c r="D49" s="39" t="s">
        <v>102</v>
      </c>
      <c r="E49" s="40" t="s">
        <v>255</v>
      </c>
      <c r="F49" s="40" t="s">
        <v>256</v>
      </c>
      <c r="G49" s="41" t="n">
        <v>120</v>
      </c>
      <c r="H49" s="42" t="s">
        <v>115</v>
      </c>
    </row>
    <row r="50" customFormat="false" ht="15" hidden="false" customHeight="false" outlineLevel="0" collapsed="false">
      <c r="A50" s="38" t="n">
        <v>49</v>
      </c>
      <c r="B50" s="39" t="s">
        <v>257</v>
      </c>
      <c r="C50" s="39" t="s">
        <v>38</v>
      </c>
      <c r="D50" s="39" t="s">
        <v>102</v>
      </c>
      <c r="E50" s="40" t="s">
        <v>258</v>
      </c>
      <c r="F50" s="40" t="s">
        <v>259</v>
      </c>
      <c r="G50" s="41" t="n">
        <v>120</v>
      </c>
      <c r="H50" s="42" t="s">
        <v>115</v>
      </c>
    </row>
    <row r="51" customFormat="false" ht="15" hidden="false" customHeight="false" outlineLevel="0" collapsed="false">
      <c r="A51" s="38" t="n">
        <v>50</v>
      </c>
      <c r="B51" s="39" t="s">
        <v>260</v>
      </c>
      <c r="C51" s="39" t="s">
        <v>38</v>
      </c>
      <c r="D51" s="39" t="s">
        <v>102</v>
      </c>
      <c r="E51" s="40" t="s">
        <v>261</v>
      </c>
      <c r="F51" s="40" t="s">
        <v>262</v>
      </c>
      <c r="G51" s="41" t="n">
        <v>120</v>
      </c>
      <c r="H51" s="42" t="s">
        <v>115</v>
      </c>
    </row>
    <row r="52" customFormat="false" ht="15" hidden="false" customHeight="false" outlineLevel="0" collapsed="false">
      <c r="A52" s="38" t="n">
        <v>51</v>
      </c>
      <c r="B52" s="39" t="s">
        <v>263</v>
      </c>
      <c r="C52" s="39" t="s">
        <v>38</v>
      </c>
      <c r="D52" s="39" t="s">
        <v>102</v>
      </c>
      <c r="E52" s="40" t="s">
        <v>264</v>
      </c>
      <c r="F52" s="40" t="s">
        <v>265</v>
      </c>
      <c r="G52" s="41" t="n">
        <v>120</v>
      </c>
      <c r="H52" s="42" t="s">
        <v>115</v>
      </c>
    </row>
    <row r="53" customFormat="false" ht="15" hidden="false" customHeight="false" outlineLevel="0" collapsed="false">
      <c r="A53" s="38" t="n">
        <v>52</v>
      </c>
      <c r="B53" s="39" t="s">
        <v>266</v>
      </c>
      <c r="C53" s="39" t="s">
        <v>38</v>
      </c>
      <c r="D53" s="39" t="s">
        <v>102</v>
      </c>
      <c r="E53" s="40" t="s">
        <v>267</v>
      </c>
      <c r="F53" s="40" t="s">
        <v>268</v>
      </c>
      <c r="G53" s="41" t="n">
        <v>120</v>
      </c>
      <c r="H53" s="42" t="s">
        <v>115</v>
      </c>
    </row>
    <row r="54" customFormat="false" ht="15" hidden="false" customHeight="false" outlineLevel="0" collapsed="false">
      <c r="A54" s="38" t="n">
        <v>53</v>
      </c>
      <c r="B54" s="39" t="s">
        <v>269</v>
      </c>
      <c r="C54" s="39" t="s">
        <v>38</v>
      </c>
      <c r="D54" s="39" t="s">
        <v>102</v>
      </c>
      <c r="E54" s="40" t="s">
        <v>270</v>
      </c>
      <c r="F54" s="40" t="s">
        <v>271</v>
      </c>
      <c r="G54" s="41" t="n">
        <v>120</v>
      </c>
      <c r="H54" s="42" t="s">
        <v>115</v>
      </c>
    </row>
    <row r="55" customFormat="false" ht="15" hidden="false" customHeight="false" outlineLevel="0" collapsed="false">
      <c r="A55" s="38" t="n">
        <v>54</v>
      </c>
      <c r="B55" s="39" t="s">
        <v>272</v>
      </c>
      <c r="C55" s="39" t="s">
        <v>38</v>
      </c>
      <c r="D55" s="39" t="s">
        <v>102</v>
      </c>
      <c r="E55" s="40" t="s">
        <v>273</v>
      </c>
      <c r="F55" s="40" t="s">
        <v>274</v>
      </c>
      <c r="G55" s="41" t="n">
        <v>120</v>
      </c>
      <c r="H55" s="42" t="s">
        <v>115</v>
      </c>
    </row>
    <row r="56" customFormat="false" ht="15" hidden="false" customHeight="false" outlineLevel="0" collapsed="false">
      <c r="A56" s="38" t="n">
        <v>55</v>
      </c>
      <c r="B56" s="39" t="s">
        <v>275</v>
      </c>
      <c r="C56" s="39" t="s">
        <v>38</v>
      </c>
      <c r="D56" s="39" t="s">
        <v>102</v>
      </c>
      <c r="E56" s="40" t="s">
        <v>276</v>
      </c>
      <c r="F56" s="40" t="s">
        <v>277</v>
      </c>
      <c r="G56" s="41" t="n">
        <v>120</v>
      </c>
      <c r="H56" s="42" t="s">
        <v>115</v>
      </c>
    </row>
    <row r="57" customFormat="false" ht="15" hidden="false" customHeight="false" outlineLevel="0" collapsed="false">
      <c r="A57" s="38" t="n">
        <v>56</v>
      </c>
      <c r="B57" s="39" t="s">
        <v>278</v>
      </c>
      <c r="C57" s="39" t="s">
        <v>38</v>
      </c>
      <c r="D57" s="39" t="s">
        <v>102</v>
      </c>
      <c r="E57" s="40" t="s">
        <v>279</v>
      </c>
      <c r="F57" s="40" t="s">
        <v>280</v>
      </c>
      <c r="G57" s="41" t="n">
        <v>120</v>
      </c>
      <c r="H57" s="42" t="s">
        <v>115</v>
      </c>
    </row>
    <row r="58" customFormat="false" ht="15" hidden="false" customHeight="false" outlineLevel="0" collapsed="false">
      <c r="A58" s="38" t="n">
        <v>57</v>
      </c>
      <c r="B58" s="39" t="s">
        <v>281</v>
      </c>
      <c r="C58" s="39" t="s">
        <v>38</v>
      </c>
      <c r="D58" s="39" t="s">
        <v>102</v>
      </c>
      <c r="E58" s="40" t="s">
        <v>282</v>
      </c>
      <c r="F58" s="40" t="s">
        <v>283</v>
      </c>
      <c r="G58" s="41" t="n">
        <v>120</v>
      </c>
      <c r="H58" s="42" t="s">
        <v>115</v>
      </c>
    </row>
    <row r="59" customFormat="false" ht="15" hidden="false" customHeight="false" outlineLevel="0" collapsed="false">
      <c r="A59" s="38" t="n">
        <v>58</v>
      </c>
      <c r="B59" s="39" t="s">
        <v>284</v>
      </c>
      <c r="C59" s="39" t="s">
        <v>38</v>
      </c>
      <c r="D59" s="39" t="s">
        <v>102</v>
      </c>
      <c r="E59" s="40" t="s">
        <v>285</v>
      </c>
      <c r="F59" s="40" t="s">
        <v>286</v>
      </c>
      <c r="G59" s="41" t="n">
        <v>120</v>
      </c>
      <c r="H59" s="42" t="s">
        <v>115</v>
      </c>
    </row>
    <row r="60" customFormat="false" ht="15" hidden="false" customHeight="false" outlineLevel="0" collapsed="false">
      <c r="A60" s="38" t="n">
        <v>59</v>
      </c>
      <c r="B60" s="39" t="s">
        <v>287</v>
      </c>
      <c r="C60" s="39" t="s">
        <v>38</v>
      </c>
      <c r="D60" s="39" t="s">
        <v>102</v>
      </c>
      <c r="E60" s="40" t="s">
        <v>288</v>
      </c>
      <c r="F60" s="40" t="s">
        <v>289</v>
      </c>
      <c r="G60" s="41" t="n">
        <v>120</v>
      </c>
      <c r="H60" s="42" t="s">
        <v>115</v>
      </c>
    </row>
    <row r="61" customFormat="false" ht="15" hidden="false" customHeight="false" outlineLevel="0" collapsed="false">
      <c r="A61" s="38" t="n">
        <v>60</v>
      </c>
      <c r="B61" s="39" t="s">
        <v>290</v>
      </c>
      <c r="C61" s="39" t="s">
        <v>38</v>
      </c>
      <c r="D61" s="39" t="s">
        <v>102</v>
      </c>
      <c r="E61" s="40" t="s">
        <v>291</v>
      </c>
      <c r="F61" s="40" t="s">
        <v>292</v>
      </c>
      <c r="G61" s="41" t="n">
        <v>120</v>
      </c>
      <c r="H61" s="42" t="s">
        <v>115</v>
      </c>
    </row>
    <row r="62" customFormat="false" ht="15" hidden="false" customHeight="false" outlineLevel="0" collapsed="false">
      <c r="A62" s="43" t="n">
        <v>61</v>
      </c>
      <c r="B62" s="44" t="s">
        <v>293</v>
      </c>
      <c r="C62" s="44" t="s">
        <v>39</v>
      </c>
      <c r="D62" s="44" t="s">
        <v>102</v>
      </c>
      <c r="E62" s="45" t="s">
        <v>294</v>
      </c>
      <c r="F62" s="45" t="s">
        <v>295</v>
      </c>
      <c r="G62" s="46" t="n">
        <v>120</v>
      </c>
      <c r="H62" s="47" t="s">
        <v>115</v>
      </c>
    </row>
    <row r="63" customFormat="false" ht="15" hidden="false" customHeight="false" outlineLevel="0" collapsed="false">
      <c r="A63" s="43" t="n">
        <v>62</v>
      </c>
      <c r="B63" s="44" t="s">
        <v>296</v>
      </c>
      <c r="C63" s="44" t="s">
        <v>39</v>
      </c>
      <c r="D63" s="44" t="s">
        <v>102</v>
      </c>
      <c r="E63" s="45" t="s">
        <v>297</v>
      </c>
      <c r="F63" s="45" t="s">
        <v>298</v>
      </c>
      <c r="G63" s="46" t="n">
        <v>120</v>
      </c>
      <c r="H63" s="47" t="s">
        <v>115</v>
      </c>
    </row>
    <row r="64" customFormat="false" ht="15" hidden="false" customHeight="false" outlineLevel="0" collapsed="false">
      <c r="A64" s="43" t="n">
        <v>63</v>
      </c>
      <c r="B64" s="44" t="s">
        <v>299</v>
      </c>
      <c r="C64" s="44" t="s">
        <v>39</v>
      </c>
      <c r="D64" s="44" t="s">
        <v>102</v>
      </c>
      <c r="E64" s="45" t="s">
        <v>300</v>
      </c>
      <c r="F64" s="45" t="s">
        <v>301</v>
      </c>
      <c r="G64" s="46" t="n">
        <v>120</v>
      </c>
      <c r="H64" s="47" t="s">
        <v>115</v>
      </c>
    </row>
    <row r="65" customFormat="false" ht="15" hidden="false" customHeight="false" outlineLevel="0" collapsed="false">
      <c r="A65" s="43" t="n">
        <v>64</v>
      </c>
      <c r="B65" s="44" t="s">
        <v>302</v>
      </c>
      <c r="C65" s="44" t="s">
        <v>39</v>
      </c>
      <c r="D65" s="44" t="s">
        <v>102</v>
      </c>
      <c r="E65" s="45" t="s">
        <v>303</v>
      </c>
      <c r="F65" s="45" t="s">
        <v>304</v>
      </c>
      <c r="G65" s="46" t="n">
        <v>120</v>
      </c>
      <c r="H65" s="47" t="s">
        <v>115</v>
      </c>
    </row>
    <row r="66" customFormat="false" ht="15" hidden="false" customHeight="false" outlineLevel="0" collapsed="false">
      <c r="A66" s="43" t="n">
        <v>65</v>
      </c>
      <c r="B66" s="44" t="s">
        <v>305</v>
      </c>
      <c r="C66" s="44" t="s">
        <v>39</v>
      </c>
      <c r="D66" s="44" t="s">
        <v>102</v>
      </c>
      <c r="E66" s="45" t="s">
        <v>306</v>
      </c>
      <c r="F66" s="45" t="s">
        <v>307</v>
      </c>
      <c r="G66" s="46" t="n">
        <v>120</v>
      </c>
      <c r="H66" s="47" t="s">
        <v>115</v>
      </c>
    </row>
    <row r="67" customFormat="false" ht="15" hidden="false" customHeight="false" outlineLevel="0" collapsed="false">
      <c r="A67" s="43" t="n">
        <v>66</v>
      </c>
      <c r="B67" s="44" t="s">
        <v>308</v>
      </c>
      <c r="C67" s="44" t="s">
        <v>39</v>
      </c>
      <c r="D67" s="44" t="s">
        <v>102</v>
      </c>
      <c r="E67" s="45" t="s">
        <v>309</v>
      </c>
      <c r="F67" s="45" t="s">
        <v>310</v>
      </c>
      <c r="G67" s="46" t="n">
        <v>120</v>
      </c>
      <c r="H67" s="47" t="s">
        <v>115</v>
      </c>
    </row>
    <row r="68" customFormat="false" ht="15" hidden="false" customHeight="false" outlineLevel="0" collapsed="false">
      <c r="A68" s="43" t="n">
        <v>67</v>
      </c>
      <c r="B68" s="44" t="s">
        <v>311</v>
      </c>
      <c r="C68" s="44" t="s">
        <v>39</v>
      </c>
      <c r="D68" s="44" t="s">
        <v>102</v>
      </c>
      <c r="E68" s="45" t="s">
        <v>312</v>
      </c>
      <c r="F68" s="45" t="s">
        <v>313</v>
      </c>
      <c r="G68" s="46" t="n">
        <v>120</v>
      </c>
      <c r="H68" s="47" t="s">
        <v>115</v>
      </c>
    </row>
    <row r="69" customFormat="false" ht="15" hidden="false" customHeight="false" outlineLevel="0" collapsed="false">
      <c r="A69" s="43" t="n">
        <v>68</v>
      </c>
      <c r="B69" s="44" t="s">
        <v>314</v>
      </c>
      <c r="C69" s="44" t="s">
        <v>39</v>
      </c>
      <c r="D69" s="44" t="s">
        <v>102</v>
      </c>
      <c r="E69" s="45" t="s">
        <v>315</v>
      </c>
      <c r="F69" s="45" t="s">
        <v>316</v>
      </c>
      <c r="G69" s="46" t="n">
        <v>120</v>
      </c>
      <c r="H69" s="47" t="s">
        <v>115</v>
      </c>
    </row>
    <row r="70" customFormat="false" ht="15" hidden="false" customHeight="false" outlineLevel="0" collapsed="false">
      <c r="A70" s="43" t="n">
        <v>69</v>
      </c>
      <c r="B70" s="44" t="s">
        <v>317</v>
      </c>
      <c r="C70" s="44" t="s">
        <v>39</v>
      </c>
      <c r="D70" s="44" t="s">
        <v>102</v>
      </c>
      <c r="E70" s="45" t="s">
        <v>318</v>
      </c>
      <c r="F70" s="45" t="s">
        <v>319</v>
      </c>
      <c r="G70" s="46" t="n">
        <v>120</v>
      </c>
      <c r="H70" s="47" t="s">
        <v>115</v>
      </c>
    </row>
    <row r="71" customFormat="false" ht="15" hidden="false" customHeight="false" outlineLevel="0" collapsed="false">
      <c r="A71" s="43" t="n">
        <v>70</v>
      </c>
      <c r="B71" s="44" t="s">
        <v>137</v>
      </c>
      <c r="C71" s="44" t="s">
        <v>39</v>
      </c>
      <c r="D71" s="44" t="s">
        <v>102</v>
      </c>
      <c r="E71" s="45" t="s">
        <v>320</v>
      </c>
      <c r="F71" s="44" t="s">
        <v>321</v>
      </c>
      <c r="G71" s="46" t="n">
        <v>120</v>
      </c>
      <c r="H71" s="47" t="s">
        <v>115</v>
      </c>
    </row>
    <row r="72" customFormat="false" ht="15" hidden="false" customHeight="false" outlineLevel="0" collapsed="false">
      <c r="A72" s="43" t="n">
        <v>71</v>
      </c>
      <c r="B72" s="44" t="s">
        <v>140</v>
      </c>
      <c r="C72" s="44" t="s">
        <v>39</v>
      </c>
      <c r="D72" s="44" t="s">
        <v>102</v>
      </c>
      <c r="E72" s="45" t="s">
        <v>322</v>
      </c>
      <c r="F72" s="45" t="s">
        <v>323</v>
      </c>
      <c r="G72" s="46" t="n">
        <v>120</v>
      </c>
      <c r="H72" s="47" t="s">
        <v>115</v>
      </c>
    </row>
    <row r="73" customFormat="false" ht="15" hidden="false" customHeight="false" outlineLevel="0" collapsed="false">
      <c r="A73" s="43" t="n">
        <v>72</v>
      </c>
      <c r="B73" s="44" t="s">
        <v>324</v>
      </c>
      <c r="C73" s="44" t="s">
        <v>39</v>
      </c>
      <c r="D73" s="44" t="s">
        <v>102</v>
      </c>
      <c r="E73" s="45" t="s">
        <v>325</v>
      </c>
      <c r="F73" s="45" t="s">
        <v>326</v>
      </c>
      <c r="G73" s="46" t="n">
        <v>120</v>
      </c>
      <c r="H73" s="47" t="s">
        <v>115</v>
      </c>
    </row>
    <row r="74" customFormat="false" ht="15" hidden="false" customHeight="false" outlineLevel="0" collapsed="false">
      <c r="A74" s="43" t="n">
        <v>73</v>
      </c>
      <c r="B74" s="44" t="s">
        <v>327</v>
      </c>
      <c r="C74" s="44" t="s">
        <v>39</v>
      </c>
      <c r="D74" s="44" t="s">
        <v>102</v>
      </c>
      <c r="E74" s="45" t="s">
        <v>328</v>
      </c>
      <c r="F74" s="45" t="s">
        <v>329</v>
      </c>
      <c r="G74" s="46" t="n">
        <v>120</v>
      </c>
      <c r="H74" s="47" t="s">
        <v>115</v>
      </c>
    </row>
    <row r="75" customFormat="false" ht="15" hidden="false" customHeight="false" outlineLevel="0" collapsed="false">
      <c r="A75" s="43" t="n">
        <v>74</v>
      </c>
      <c r="B75" s="44" t="s">
        <v>330</v>
      </c>
      <c r="C75" s="44" t="s">
        <v>39</v>
      </c>
      <c r="D75" s="44" t="s">
        <v>102</v>
      </c>
      <c r="E75" s="45" t="s">
        <v>331</v>
      </c>
      <c r="F75" s="45" t="s">
        <v>332</v>
      </c>
      <c r="G75" s="46" t="n">
        <v>120</v>
      </c>
      <c r="H75" s="47" t="s">
        <v>115</v>
      </c>
    </row>
    <row r="76" customFormat="false" ht="15" hidden="false" customHeight="false" outlineLevel="0" collapsed="false">
      <c r="A76" s="43" t="n">
        <v>75</v>
      </c>
      <c r="B76" s="44" t="s">
        <v>112</v>
      </c>
      <c r="C76" s="44" t="s">
        <v>39</v>
      </c>
      <c r="D76" s="44" t="s">
        <v>102</v>
      </c>
      <c r="E76" s="45" t="s">
        <v>333</v>
      </c>
      <c r="F76" s="44" t="s">
        <v>334</v>
      </c>
      <c r="G76" s="46" t="n">
        <v>120</v>
      </c>
      <c r="H76" s="47" t="s">
        <v>115</v>
      </c>
    </row>
  </sheetData>
  <autoFilter ref="A1:H76"/>
  <dataValidations count="1">
    <dataValidation allowBlank="false" errorStyle="stop" operator="between" showDropDown="false" showErrorMessage="false" showInputMessage="false" sqref="H2:H76" type="list">
      <formula1>"미작성,작성중,초고완료,검수완료"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3" t="s">
        <v>2</v>
      </c>
      <c r="B1" s="3" t="s">
        <v>335</v>
      </c>
    </row>
    <row r="2" customFormat="false" ht="15" hidden="false" customHeight="false" outlineLevel="0" collapsed="false">
      <c r="A2" s="4" t="s">
        <v>336</v>
      </c>
      <c r="B2" s="4" t="s">
        <v>337</v>
      </c>
    </row>
    <row r="3" customFormat="false" ht="15" hidden="false" customHeight="false" outlineLevel="0" collapsed="false">
      <c r="A3" s="4" t="s">
        <v>338</v>
      </c>
      <c r="B3" s="4" t="s">
        <v>339</v>
      </c>
    </row>
    <row r="4" customFormat="false" ht="15" hidden="false" customHeight="false" outlineLevel="0" collapsed="false">
      <c r="A4" s="4" t="s">
        <v>340</v>
      </c>
      <c r="B4" s="5" t="s">
        <v>341</v>
      </c>
    </row>
    <row r="5" customFormat="false" ht="15" hidden="false" customHeight="false" outlineLevel="0" collapsed="false">
      <c r="A5" s="4" t="s">
        <v>342</v>
      </c>
      <c r="B5" s="4" t="s">
        <v>343</v>
      </c>
    </row>
    <row r="6" customFormat="false" ht="15" hidden="false" customHeight="false" outlineLevel="0" collapsed="false">
      <c r="A6" s="4" t="s">
        <v>344</v>
      </c>
      <c r="B6" s="4" t="s">
        <v>345</v>
      </c>
    </row>
    <row r="7" customFormat="false" ht="26.85" hidden="false" customHeight="false" outlineLevel="0" collapsed="false">
      <c r="A7" s="4" t="s">
        <v>346</v>
      </c>
      <c r="B7" s="4" t="s">
        <v>347</v>
      </c>
    </row>
    <row r="8" customFormat="false" ht="15" hidden="false" customHeight="false" outlineLevel="0" collapsed="false">
      <c r="A8" s="4" t="s">
        <v>348</v>
      </c>
      <c r="B8" s="5" t="s">
        <v>349</v>
      </c>
    </row>
    <row r="9" customFormat="false" ht="15" hidden="false" customHeight="false" outlineLevel="0" collapsed="false">
      <c r="A9" s="4" t="s">
        <v>350</v>
      </c>
      <c r="B9" s="4" t="s">
        <v>351</v>
      </c>
    </row>
    <row r="10" customFormat="false" ht="15" hidden="false" customHeight="false" outlineLevel="0" collapsed="false">
      <c r="A10" s="4" t="s">
        <v>352</v>
      </c>
      <c r="B10" s="4" t="s">
        <v>353</v>
      </c>
    </row>
    <row r="11" customFormat="false" ht="15" hidden="false" customHeight="false" outlineLevel="0" collapsed="false">
      <c r="A11" s="4" t="s">
        <v>354</v>
      </c>
      <c r="B11" s="4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3" t="s">
        <v>31</v>
      </c>
      <c r="B1" s="3" t="s">
        <v>356</v>
      </c>
    </row>
    <row r="2" customFormat="false" ht="15" hidden="false" customHeight="false" outlineLevel="0" collapsed="false">
      <c r="A2" s="5" t="s">
        <v>357</v>
      </c>
      <c r="B2" s="4" t="s">
        <v>358</v>
      </c>
    </row>
    <row r="3" customFormat="false" ht="15" hidden="false" customHeight="false" outlineLevel="0" collapsed="false">
      <c r="A3" s="5" t="s">
        <v>359</v>
      </c>
      <c r="B3" s="4" t="s">
        <v>360</v>
      </c>
    </row>
    <row r="4" customFormat="false" ht="15" hidden="false" customHeight="false" outlineLevel="0" collapsed="false">
      <c r="A4" s="5" t="s">
        <v>361</v>
      </c>
      <c r="B4" s="4" t="s">
        <v>362</v>
      </c>
    </row>
    <row r="5" customFormat="false" ht="15" hidden="false" customHeight="false" outlineLevel="0" collapsed="false">
      <c r="A5" s="5" t="s">
        <v>363</v>
      </c>
      <c r="B5" s="4" t="s">
        <v>364</v>
      </c>
    </row>
    <row r="6" customFormat="false" ht="15" hidden="false" customHeight="false" outlineLevel="0" collapsed="false">
      <c r="A6" s="5" t="s">
        <v>365</v>
      </c>
      <c r="B6" s="4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4"/>
  </cols>
  <sheetData>
    <row r="1" customFormat="false" ht="15" hidden="false" customHeight="false" outlineLevel="0" collapsed="false">
      <c r="A1" s="3" t="s">
        <v>367</v>
      </c>
      <c r="B1" s="3" t="s">
        <v>368</v>
      </c>
      <c r="C1" s="3" t="s">
        <v>369</v>
      </c>
    </row>
    <row r="2" customFormat="false" ht="15" hidden="false" customHeight="false" outlineLevel="0" collapsed="false">
      <c r="A2" s="4" t="s">
        <v>370</v>
      </c>
      <c r="B2" s="5" t="s">
        <v>371</v>
      </c>
      <c r="C2" s="4" t="s">
        <v>372</v>
      </c>
    </row>
    <row r="3" customFormat="false" ht="15" hidden="false" customHeight="false" outlineLevel="0" collapsed="false">
      <c r="A3" s="4" t="s">
        <v>373</v>
      </c>
      <c r="B3" s="5" t="s">
        <v>374</v>
      </c>
      <c r="C3" s="4" t="s">
        <v>375</v>
      </c>
    </row>
    <row r="4" customFormat="false" ht="15" hidden="false" customHeight="false" outlineLevel="0" collapsed="false">
      <c r="A4" s="4" t="s">
        <v>376</v>
      </c>
      <c r="B4" s="5" t="s">
        <v>377</v>
      </c>
      <c r="C4" s="4" t="s">
        <v>378</v>
      </c>
    </row>
    <row r="5" customFormat="false" ht="15" hidden="false" customHeight="false" outlineLevel="0" collapsed="false">
      <c r="A5" s="4" t="s">
        <v>379</v>
      </c>
      <c r="B5" s="5" t="s">
        <v>380</v>
      </c>
      <c r="C5" s="4" t="s">
        <v>381</v>
      </c>
    </row>
    <row r="6" customFormat="false" ht="15" hidden="false" customHeight="false" outlineLevel="0" collapsed="false">
      <c r="A6" s="4" t="s">
        <v>382</v>
      </c>
      <c r="B6" s="5" t="s">
        <v>383</v>
      </c>
      <c r="C6" s="4" t="s">
        <v>384</v>
      </c>
    </row>
    <row r="7" customFormat="false" ht="15" hidden="false" customHeight="false" outlineLevel="0" collapsed="false">
      <c r="A7" s="4" t="s">
        <v>385</v>
      </c>
      <c r="B7" s="5" t="s">
        <v>386</v>
      </c>
      <c r="C7" s="4" t="s">
        <v>387</v>
      </c>
    </row>
    <row r="8" customFormat="false" ht="15" hidden="false" customHeight="false" outlineLevel="0" collapsed="false">
      <c r="A8" s="4" t="s">
        <v>388</v>
      </c>
      <c r="B8" s="5" t="s">
        <v>389</v>
      </c>
      <c r="C8" s="4" t="s">
        <v>390</v>
      </c>
    </row>
    <row r="9" customFormat="false" ht="15" hidden="false" customHeight="false" outlineLevel="0" collapsed="false">
      <c r="A9" s="4" t="s">
        <v>391</v>
      </c>
      <c r="B9" s="5" t="s">
        <v>392</v>
      </c>
      <c r="C9" s="4" t="s">
        <v>393</v>
      </c>
    </row>
    <row r="10" customFormat="false" ht="15" hidden="false" customHeight="false" outlineLevel="0" collapsed="false">
      <c r="A10" s="4" t="s">
        <v>394</v>
      </c>
      <c r="B10" s="5" t="s">
        <v>395</v>
      </c>
      <c r="C10" s="4" t="s">
        <v>396</v>
      </c>
    </row>
    <row r="11" customFormat="false" ht="15" hidden="false" customHeight="false" outlineLevel="0" collapsed="false">
      <c r="A11" s="4" t="s">
        <v>397</v>
      </c>
      <c r="B11" s="5" t="s">
        <v>398</v>
      </c>
      <c r="C11" s="4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2026-10-09T05:52:59Z</dcterms:created>
  <dc:creator>openpyxl</dc:creator>
  <dc:description/>
  <dc:language>en-US</dc:language>
  <cp:lastModifiedBy/>
  <dcterms:modified xsi:type="dcterms:W3CDTF">2026-10-09T05:52:59Z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