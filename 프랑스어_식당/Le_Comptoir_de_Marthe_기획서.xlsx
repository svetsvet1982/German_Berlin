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개요" sheetId="1" state="visible" r:id="rId3"/>
    <sheet name="진행 현황" sheetId="2" state="visible" r:id="rId4"/>
    <sheet name="등장인물" sheetId="3" state="visible" r:id="rId5"/>
    <sheet name="난이도 설계" sheetId="4" state="visible" r:id="rId6"/>
    <sheet name="화별 개요" sheetId="5" state="visible" r:id="rId7"/>
    <sheet name="문체 원칙" sheetId="6" state="visible" r:id="rId8"/>
    <sheet name="부별 어휘 영역" sheetId="7" state="visible" r:id="rId9"/>
  </sheets>
  <definedNames>
    <definedName function="false" hidden="true" localSheetId="4" name="_xlnm._FilterDatabase" vbProcedure="false">'화별 개요'!$A$1:$H$76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<sst xmlns="http://schemas.openxmlformats.org/spreadsheetml/2006/main" count="615" uniqueCount="373">
  <si>
    <r>
      <rPr>
        <b val="true"/>
        <sz val="14"/>
        <rFont val="WenQuanYi Zen Hei"/>
        <family val="2"/>
      </rPr>
      <t xml:space="preserve">《</t>
    </r>
    <r>
      <rPr>
        <b val="true"/>
        <sz val="14"/>
        <rFont val="Arial"/>
        <family val="0"/>
        <charset val="1"/>
      </rPr>
      <t xml:space="preserve">Le Comptoir de Marthe</t>
    </r>
    <r>
      <rPr>
        <b val="true"/>
        <sz val="14"/>
        <rFont val="WenQuanYi Zen Hei"/>
        <family val="2"/>
      </rPr>
      <t xml:space="preserve">》 프랑스어 연속 대화문 기획서</t>
    </r>
  </si>
  <si>
    <r>
      <rPr>
        <sz val="10"/>
        <rFont val="WenQuanYi Zen Hei"/>
        <family val="2"/>
      </rPr>
      <t xml:space="preserve">파리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구 가족 비스트로의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년 반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낭독 말하기 연습용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한글 해석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어휘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문법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표현 분석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낭독 포인트</t>
    </r>
    <r>
      <rPr>
        <sz val="10"/>
        <rFont val="Arial"/>
        <family val="0"/>
        <charset val="1"/>
      </rPr>
      <t xml:space="preserve">).</t>
    </r>
  </si>
  <si>
    <t xml:space="preserve">항목</t>
  </si>
  <si>
    <t xml:space="preserve">내용</t>
  </si>
  <si>
    <t xml:space="preserve">배경</t>
  </si>
  <si>
    <r>
      <rPr>
        <sz val="10"/>
        <rFont val="WenQuanYi Zen Hei"/>
        <family val="2"/>
      </rPr>
      <t xml:space="preserve">파리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구 오베르캄프 인근의 독립 가족 비스트로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주방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시장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은행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법원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호텔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지방 생산자 농장 등</t>
    </r>
    <r>
      <rPr>
        <sz val="10"/>
        <rFont val="Arial"/>
        <family val="0"/>
        <charset val="1"/>
      </rPr>
      <t xml:space="preserve">)</t>
    </r>
  </si>
  <si>
    <t xml:space="preserve">분량</t>
  </si>
  <si>
    <r>
      <rPr>
        <sz val="10"/>
        <rFont val="WenQuanYi Zen Hei"/>
        <family val="2"/>
      </rPr>
      <t xml:space="preserve">총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× 15</t>
    </r>
    <r>
      <rPr>
        <sz val="10"/>
        <rFont val="WenQuanYi Zen Hei"/>
        <family val="2"/>
      </rPr>
      <t xml:space="preserve">화 </t>
    </r>
    <r>
      <rPr>
        <sz val="10"/>
        <rFont val="Arial"/>
        <family val="0"/>
        <charset val="1"/>
      </rPr>
      <t xml:space="preserve">= 75</t>
    </r>
    <r>
      <rPr>
        <sz val="10"/>
        <rFont val="WenQuanYi Zen Hei"/>
        <family val="2"/>
      </rPr>
      <t xml:space="preserve">화</t>
    </r>
  </si>
  <si>
    <t xml:space="preserve">화당 길이</t>
  </si>
  <si>
    <r>
      <rPr>
        <sz val="10"/>
        <rFont val="Arial"/>
        <family val="0"/>
        <charset val="1"/>
      </rPr>
      <t xml:space="preserve">120</t>
    </r>
    <r>
      <rPr>
        <sz val="10"/>
        <rFont val="WenQuanYi Zen Hei"/>
        <family val="2"/>
      </rPr>
      <t xml:space="preserve">턴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화자 발화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 </t>
    </r>
    <r>
      <rPr>
        <sz val="10"/>
        <rFont val="Arial"/>
        <family val="0"/>
        <charset val="1"/>
      </rPr>
      <t xml:space="preserve">= 1</t>
    </r>
    <r>
      <rPr>
        <sz val="10"/>
        <rFont val="WenQuanYi Zen Hei"/>
        <family val="2"/>
      </rPr>
      <t xml:space="preserve">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지문은 턴 수에 포함하지 않음</t>
    </r>
    <r>
      <rPr>
        <sz val="10"/>
        <rFont val="Arial"/>
        <family val="0"/>
        <charset val="1"/>
      </rPr>
      <t xml:space="preserve">)</t>
    </r>
  </si>
  <si>
    <t xml:space="preserve">총 분량</t>
  </si>
  <si>
    <r>
      <rPr>
        <sz val="10"/>
        <rFont val="Arial"/>
        <family val="0"/>
        <charset val="1"/>
      </rPr>
      <t xml:space="preserve">9,000</t>
    </r>
    <r>
      <rPr>
        <sz val="10"/>
        <rFont val="WenQuanYi Zen Hei"/>
        <family val="2"/>
      </rPr>
      <t xml:space="preserve">턴</t>
    </r>
  </si>
  <si>
    <t xml:space="preserve">턴 번호</t>
  </si>
  <si>
    <r>
      <rPr>
        <sz val="10"/>
        <rFont val="WenQuanYi Zen Hei"/>
        <family val="2"/>
      </rPr>
      <t xml:space="preserve">표기하지 않음 </t>
    </r>
    <r>
      <rPr>
        <sz val="10"/>
        <rFont val="Arial"/>
        <family val="0"/>
        <charset val="1"/>
      </rPr>
      <t xml:space="preserve">(Hélène : </t>
    </r>
    <r>
      <rPr>
        <sz val="10"/>
        <rFont val="WenQuanYi Zen Hei"/>
        <family val="2"/>
      </rPr>
      <t xml:space="preserve">처럼 화자 이름으로만 구분</t>
    </r>
    <r>
      <rPr>
        <sz val="10"/>
        <rFont val="Arial"/>
        <family val="0"/>
        <charset val="1"/>
      </rPr>
      <t xml:space="preserve">)</t>
    </r>
  </si>
  <si>
    <t xml:space="preserve">화자 수</t>
  </si>
  <si>
    <r>
      <rPr>
        <sz val="10"/>
        <rFont val="WenQuanYi Zen Hei"/>
        <family val="2"/>
      </rPr>
      <t xml:space="preserve">한 화 </t>
    </r>
    <r>
      <rPr>
        <sz val="10"/>
        <rFont val="Arial"/>
        <family val="0"/>
        <charset val="1"/>
      </rPr>
      <t xml:space="preserve">2~4</t>
    </r>
    <r>
      <rPr>
        <sz val="10"/>
        <rFont val="WenQuanYi Zen Hei"/>
        <family val="2"/>
      </rPr>
      <t xml:space="preserve">명</t>
    </r>
    <r>
      <rPr>
        <sz val="10"/>
        <rFont val="Arial"/>
        <family val="0"/>
        <charset val="1"/>
      </rPr>
      <t xml:space="preserve">. 2</t>
    </r>
    <r>
      <rPr>
        <sz val="10"/>
        <rFont val="WenQuanYi Zen Hei"/>
        <family val="2"/>
      </rPr>
      <t xml:space="preserve">인 대화 위주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홀 장면은 </t>
    </r>
    <r>
      <rPr>
        <sz val="10"/>
        <rFont val="Arial"/>
        <family val="0"/>
        <charset val="1"/>
      </rPr>
      <t xml:space="preserve">3~4</t>
    </r>
    <r>
      <rPr>
        <sz val="10"/>
        <rFont val="WenQuanYi Zen Hei"/>
        <family val="2"/>
      </rPr>
      <t xml:space="preserve">인</t>
    </r>
  </si>
  <si>
    <t xml:space="preserve">난이도</t>
  </si>
  <si>
    <r>
      <rPr>
        <sz val="10"/>
        <rFont val="Arial"/>
        <family val="0"/>
        <charset val="1"/>
      </rPr>
      <t xml:space="preserve">A2~C1 </t>
    </r>
    <r>
      <rPr>
        <sz val="10"/>
        <rFont val="WenQuanYi Zen Hei"/>
        <family val="2"/>
      </rPr>
      <t xml:space="preserve">혼합 </t>
    </r>
    <r>
      <rPr>
        <sz val="10"/>
        <rFont val="Arial"/>
        <family val="0"/>
        <charset val="1"/>
      </rPr>
      <t xml:space="preserve">(3</t>
    </r>
    <r>
      <rPr>
        <sz val="10"/>
        <rFont val="WenQuanYi Zen Hei"/>
        <family val="2"/>
      </rPr>
      <t xml:space="preserve">장 비율표</t>
    </r>
    <r>
      <rPr>
        <sz val="10"/>
        <rFont val="Arial"/>
        <family val="0"/>
        <charset val="1"/>
      </rPr>
      <t xml:space="preserve">)</t>
    </r>
  </si>
  <si>
    <t xml:space="preserve">한글 해석</t>
  </si>
  <si>
    <t xml:space="preserve">각 화 맨 마지막에 대화 순서대로 수록</t>
  </si>
  <si>
    <t xml:space="preserve">낭독 용도</t>
  </si>
  <si>
    <r>
      <rPr>
        <sz val="10"/>
        <rFont val="WenQuanYi Zen Hei"/>
        <family val="2"/>
      </rPr>
      <t xml:space="preserve">각 화에 낭독 포인트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리에종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엘리종</t>
    </r>
    <r>
      <rPr>
        <sz val="10"/>
        <rFont val="Arial"/>
        <family val="0"/>
        <charset val="1"/>
      </rPr>
      <t xml:space="preserve">, r, u/ou, </t>
    </r>
    <r>
      <rPr>
        <sz val="10"/>
        <rFont val="WenQuanYi Zen Hei"/>
        <family val="2"/>
      </rPr>
      <t xml:space="preserve">비음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억양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호흡 구간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를 명시</t>
    </r>
  </si>
  <si>
    <r>
      <rPr>
        <b val="true"/>
        <sz val="10"/>
        <rFont val="WenQuanYi Zen Hei"/>
        <family val="2"/>
      </rPr>
      <t xml:space="preserve">집계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아래 값은 </t>
    </r>
    <r>
      <rPr>
        <b val="true"/>
        <sz val="10"/>
        <rFont val="Arial"/>
        <family val="0"/>
        <charset val="1"/>
      </rPr>
      <t xml:space="preserve">"</t>
    </r>
    <r>
      <rPr>
        <b val="true"/>
        <sz val="10"/>
        <rFont val="WenQuanYi Zen Hei"/>
        <family val="2"/>
      </rPr>
      <t xml:space="preserve">화별 개요</t>
    </r>
    <r>
      <rPr>
        <b val="true"/>
        <sz val="10"/>
        <rFont val="Arial"/>
        <family val="0"/>
        <charset val="1"/>
      </rPr>
      <t xml:space="preserve">" </t>
    </r>
    <r>
      <rPr>
        <b val="true"/>
        <sz val="10"/>
        <rFont val="WenQuanYi Zen Hei"/>
        <family val="2"/>
      </rPr>
      <t xml:space="preserve">시트에서 자동 계산</t>
    </r>
    <r>
      <rPr>
        <b val="true"/>
        <sz val="10"/>
        <rFont val="Arial"/>
        <family val="0"/>
        <charset val="1"/>
      </rPr>
      <t xml:space="preserve">)</t>
    </r>
  </si>
  <si>
    <t xml:space="preserve">총 화수</t>
  </si>
  <si>
    <t xml:space="preserve">화당 턴 수</t>
  </si>
  <si>
    <t xml:space="preserve">총 턴 수</t>
  </si>
  <si>
    <t xml:space="preserve">부 수</t>
  </si>
  <si>
    <t xml:space="preserve">부당 화수</t>
  </si>
  <si>
    <r>
      <rPr>
        <i val="true"/>
        <sz val="9"/>
        <rFont val="WenQuanYi Zen Hei"/>
        <family val="2"/>
      </rPr>
      <t xml:space="preserve">※ 화당 턴 수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WenQuanYi Zen Hei"/>
        <family val="2"/>
      </rPr>
      <t xml:space="preserve">파란색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WenQuanYi Zen Hei"/>
        <family val="2"/>
      </rPr>
      <t xml:space="preserve">는 입력값입니다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WenQuanYi Zen Hei"/>
        <family val="2"/>
      </rPr>
      <t xml:space="preserve">바꾸면 총 턴 수가 자동 갱신됩니다</t>
    </r>
    <r>
      <rPr>
        <i val="true"/>
        <sz val="9"/>
        <rFont val="Arial"/>
        <family val="0"/>
        <charset val="1"/>
      </rPr>
      <t xml:space="preserve">.</t>
    </r>
  </si>
  <si>
    <t xml:space="preserve">부</t>
  </si>
  <si>
    <t xml:space="preserve">전체 화수</t>
  </si>
  <si>
    <r>
      <rPr>
        <b val="true"/>
        <sz val="10"/>
        <color rgb="FFFFFFFF"/>
        <rFont val="WenQuanYi Zen Hei"/>
        <family val="2"/>
      </rPr>
      <t xml:space="preserve">작성 완료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초고</t>
    </r>
    <r>
      <rPr>
        <b val="true"/>
        <sz val="10"/>
        <color rgb="FFFFFFFF"/>
        <rFont val="Arial"/>
        <family val="0"/>
        <charset val="1"/>
      </rPr>
      <t xml:space="preserve">+</t>
    </r>
    <r>
      <rPr>
        <b val="true"/>
        <sz val="10"/>
        <color rgb="FFFFFFFF"/>
        <rFont val="WenQuanYi Zen Hei"/>
        <family val="2"/>
      </rPr>
      <t xml:space="preserve">검수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</si>
  <si>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진행률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</si>
  <si>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Mise en place (</t>
    </r>
    <r>
      <rPr>
        <sz val="10"/>
        <rFont val="WenQuanYi Zen Hei"/>
        <family val="2"/>
      </rPr>
      <t xml:space="preserve">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</si>
  <si>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Premières fissures (</t>
    </r>
    <r>
      <rPr>
        <sz val="10"/>
        <rFont val="WenQuanYi Zen Hei"/>
        <family val="2"/>
      </rPr>
      <t xml:space="preserve">여름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</si>
  <si>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Au bord du gouffre (</t>
    </r>
    <r>
      <rPr>
        <sz val="10"/>
        <rFont val="WenQuanYi Zen Hei"/>
        <family val="2"/>
      </rPr>
      <t xml:space="preserve">가을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</si>
  <si>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La reconstruction (</t>
    </r>
    <r>
      <rPr>
        <sz val="10"/>
        <rFont val="WenQuanYi Zen Hei"/>
        <family val="2"/>
      </rPr>
      <t xml:space="preserve">늦가을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겨울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</si>
  <si>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Le Comptoir de Marthe (</t>
    </r>
    <r>
      <rPr>
        <sz val="10"/>
        <rFont val="WenQuanYi Zen Hei"/>
        <family val="2"/>
      </rPr>
      <t xml:space="preserve">이듬해 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여름</t>
    </r>
    <r>
      <rPr>
        <sz val="10"/>
        <rFont val="Arial"/>
        <family val="0"/>
        <charset val="1"/>
      </rPr>
      <t xml:space="preserve">)</t>
    </r>
  </si>
  <si>
    <t xml:space="preserve">합계</t>
  </si>
  <si>
    <r>
      <rPr>
        <i val="true"/>
        <sz val="9"/>
        <rFont val="Arial"/>
        <family val="0"/>
        <charset val="1"/>
      </rPr>
      <t xml:space="preserve">'</t>
    </r>
    <r>
      <rPr>
        <i val="true"/>
        <sz val="9"/>
        <rFont val="WenQuanYi Zen Hei"/>
        <family val="2"/>
      </rPr>
      <t xml:space="preserve">화별 개요</t>
    </r>
    <r>
      <rPr>
        <i val="true"/>
        <sz val="9"/>
        <rFont val="Arial"/>
        <family val="0"/>
        <charset val="1"/>
      </rPr>
      <t xml:space="preserve">' </t>
    </r>
    <r>
      <rPr>
        <i val="true"/>
        <sz val="9"/>
        <rFont val="WenQuanYi Zen Hei"/>
        <family val="2"/>
      </rPr>
      <t xml:space="preserve">시트의 작성 상태</t>
    </r>
    <r>
      <rPr>
        <i val="true"/>
        <sz val="9"/>
        <rFont val="Arial"/>
        <family val="0"/>
        <charset val="1"/>
      </rPr>
      <t xml:space="preserve">(H</t>
    </r>
    <r>
      <rPr>
        <i val="true"/>
        <sz val="9"/>
        <rFont val="WenQuanYi Zen Hei"/>
        <family val="2"/>
      </rPr>
      <t xml:space="preserve">열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WenQuanYi Zen Hei"/>
        <family val="2"/>
      </rPr>
      <t xml:space="preserve">를 바꾸면 이 표가 자동 갱신됩니다</t>
    </r>
    <r>
      <rPr>
        <i val="true"/>
        <sz val="9"/>
        <rFont val="Arial"/>
        <family val="0"/>
        <charset val="1"/>
      </rPr>
      <t xml:space="preserve">.</t>
    </r>
  </si>
  <si>
    <t xml:space="preserve">이름</t>
  </si>
  <si>
    <r>
      <rPr>
        <b val="true"/>
        <sz val="10"/>
        <color rgb="FFFFFFFF"/>
        <rFont val="WenQuanYi Zen Hei"/>
        <family val="2"/>
      </rPr>
      <t xml:space="preserve">나이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역할</t>
    </r>
  </si>
  <si>
    <t xml:space="preserve">설명</t>
  </si>
  <si>
    <r>
      <rPr>
        <sz val="10"/>
        <rFont val="Arial"/>
        <family val="0"/>
        <charset val="1"/>
      </rPr>
      <t xml:space="preserve">Hélène Marchand (</t>
    </r>
    <r>
      <rPr>
        <sz val="10"/>
        <rFont val="WenQuanYi Zen Hei"/>
        <family val="2"/>
      </rPr>
      <t xml:space="preserve">엘렌 마르샹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</si>
  <si>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42</t>
    </r>
    <r>
      <rPr>
        <sz val="10"/>
        <rFont val="WenQuanYi Zen Hei"/>
        <family val="2"/>
      </rPr>
      <t xml:space="preserve">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주인 겸 셰프</t>
    </r>
  </si>
  <si>
    <r>
      <rPr>
        <sz val="10"/>
        <rFont val="WenQuanYi Zen Hei"/>
        <family val="2"/>
      </rPr>
      <t xml:space="preserve">미슐랭 레스토랑 부주방장 출신으로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년 전 어머니의 식당을 이어받음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완벽주의자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말수가 적지만 화나면 단호함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</si>
  <si>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Lucien Marchand (</t>
    </r>
    <r>
      <rPr>
        <sz val="10"/>
        <rFont val="WenQuanYi Zen Hei"/>
        <family val="2"/>
      </rPr>
      <t xml:space="preserve">뤼시앵 마르샹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</si>
  <si>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72</t>
    </r>
    <r>
      <rPr>
        <sz val="10"/>
        <rFont val="WenQuanYi Zen Hei"/>
        <family val="2"/>
      </rPr>
      <t xml:space="preserve">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엘렌의 아버지이자 창업자</t>
    </r>
  </si>
  <si>
    <r>
      <rPr>
        <sz val="10"/>
        <rFont val="WenQuanYi Zen Hei"/>
        <family val="2"/>
      </rPr>
      <t xml:space="preserve">은퇴했지만 매일 아침 들러 참견함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옛 속담과 레시피 노트의 주인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고급 관용구 공급원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</si>
  <si>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Julien Benali (</t>
    </r>
    <r>
      <rPr>
        <sz val="10"/>
        <rFont val="WenQuanYi Zen Hei"/>
        <family val="2"/>
      </rPr>
      <t xml:space="preserve">줄리앙 브나리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</si>
  <si>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33</t>
    </r>
    <r>
      <rPr>
        <sz val="10"/>
        <rFont val="WenQuanYi Zen Hei"/>
        <family val="2"/>
      </rPr>
      <t xml:space="preserve">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홀 매니저</t>
    </r>
    <r>
      <rPr>
        <sz val="10"/>
        <rFont val="Arial"/>
        <family val="0"/>
        <charset val="1"/>
      </rPr>
      <t xml:space="preserve">(maître d'hôtel)</t>
    </r>
  </si>
  <si>
    <r>
      <rPr>
        <sz val="10"/>
        <rFont val="WenQuanYi Zen Hei"/>
        <family val="2"/>
      </rPr>
      <t xml:space="preserve">유머러스하고 손님 응대의 달인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손님 대응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협상 표현 담당</t>
    </r>
    <r>
      <rPr>
        <sz val="10"/>
        <rFont val="Arial"/>
        <family val="0"/>
        <charset val="1"/>
      </rPr>
      <t xml:space="preserve">. 5</t>
    </r>
    <r>
      <rPr>
        <sz val="10"/>
        <rFont val="WenQuanYi Zen Hei"/>
        <family val="2"/>
      </rPr>
      <t xml:space="preserve">부에서 동업자가 됨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</si>
  <si>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Chloé Dubois (</t>
    </r>
    <r>
      <rPr>
        <sz val="10"/>
        <rFont val="WenQuanYi Zen Hei"/>
        <family val="2"/>
      </rPr>
      <t xml:space="preserve">클로에 뒤부아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</si>
  <si>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22</t>
    </r>
    <r>
      <rPr>
        <sz val="10"/>
        <rFont val="WenQuanYi Zen Hei"/>
        <family val="2"/>
      </rPr>
      <t xml:space="preserve">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견습 서버</t>
    </r>
    <r>
      <rPr>
        <sz val="10"/>
        <rFont val="Arial"/>
        <family val="0"/>
        <charset val="1"/>
      </rPr>
      <t xml:space="preserve">(alternance)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</si>
  <si>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화에 첫 출근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학습자 시점의 인물로 질문이 많아 설명 대사를 자연스럽게 끌어냄</t>
    </r>
    <r>
      <rPr>
        <sz val="10"/>
        <rFont val="Arial"/>
        <family val="0"/>
        <charset val="1"/>
      </rPr>
      <t xml:space="preserve">. 75</t>
    </r>
    <r>
      <rPr>
        <sz val="10"/>
        <rFont val="WenQuanYi Zen Hei"/>
        <family val="2"/>
      </rPr>
      <t xml:space="preserve">화에서 신입을 맞이하는 쪽이 됨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</si>
  <si>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Karim Haddad (</t>
    </r>
    <r>
      <rPr>
        <sz val="10"/>
        <rFont val="WenQuanYi Zen Hei"/>
        <family val="2"/>
      </rPr>
      <t xml:space="preserve">카림 아다드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</si>
  <si>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27</t>
    </r>
    <r>
      <rPr>
        <sz val="10"/>
        <rFont val="WenQuanYi Zen Hei"/>
        <family val="2"/>
      </rPr>
      <t xml:space="preserve">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부주방장</t>
    </r>
  </si>
  <si>
    <r>
      <rPr>
        <sz val="10"/>
        <rFont val="WenQuanYi Zen Hei"/>
        <family val="2"/>
      </rPr>
      <t xml:space="preserve">재능 있고 야심 있음</t>
    </r>
    <r>
      <rPr>
        <sz val="10"/>
        <rFont val="Arial"/>
        <family val="0"/>
        <charset val="1"/>
      </rPr>
      <t xml:space="preserve">. 2</t>
    </r>
    <r>
      <rPr>
        <sz val="10"/>
        <rFont val="WenQuanYi Zen Hei"/>
        <family val="2"/>
      </rPr>
      <t xml:space="preserve">부에서 이직했다가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부에서 복귀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</si>
  <si>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Mme Vasseur (</t>
    </r>
    <r>
      <rPr>
        <sz val="10"/>
        <rFont val="WenQuanYi Zen Hei"/>
        <family val="2"/>
      </rPr>
      <t xml:space="preserve">바쇠르 부인</t>
    </r>
    <r>
      <rPr>
        <sz val="10"/>
        <rFont val="Arial"/>
        <family val="0"/>
        <charset val="1"/>
      </rPr>
      <t xml:space="preserve">)</t>
    </r>
  </si>
  <si>
    <t xml:space="preserve">조연</t>
  </si>
  <si>
    <r>
      <rPr>
        <sz val="10"/>
        <rFont val="Arial"/>
        <family val="0"/>
        <charset val="1"/>
      </rPr>
      <t xml:space="preserve">70</t>
    </r>
    <r>
      <rPr>
        <sz val="10"/>
        <rFont val="WenQuanYi Zen Hei"/>
        <family val="2"/>
      </rPr>
      <t xml:space="preserve">대 단골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불평쟁이지만 가게를 가장 아낌</t>
    </r>
  </si>
  <si>
    <r>
      <rPr>
        <sz val="10"/>
        <rFont val="Arial"/>
        <family val="0"/>
        <charset val="1"/>
      </rPr>
      <t xml:space="preserve">M. Bastide (</t>
    </r>
    <r>
      <rPr>
        <sz val="10"/>
        <rFont val="WenQuanYi Zen Hei"/>
        <family val="2"/>
      </rPr>
      <t xml:space="preserve">바스티드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</si>
  <si>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채소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고기 납품업자</t>
    </r>
  </si>
  <si>
    <r>
      <rPr>
        <sz val="10"/>
        <rFont val="Arial"/>
        <family val="0"/>
        <charset val="1"/>
      </rPr>
      <t xml:space="preserve">M. Delmas (</t>
    </r>
    <r>
      <rPr>
        <sz val="10"/>
        <rFont val="WenQuanYi Zen Hei"/>
        <family val="2"/>
      </rPr>
      <t xml:space="preserve">델마</t>
    </r>
    <r>
      <rPr>
        <sz val="10"/>
        <rFont val="Arial"/>
        <family val="0"/>
        <charset val="1"/>
      </rPr>
      <t xml:space="preserve">)</t>
    </r>
  </si>
  <si>
    <t xml:space="preserve">건물주</t>
  </si>
  <si>
    <r>
      <rPr>
        <sz val="10"/>
        <rFont val="Arial"/>
        <family val="0"/>
        <charset val="1"/>
      </rPr>
      <t xml:space="preserve">Victor Lambert (</t>
    </r>
    <r>
      <rPr>
        <sz val="10"/>
        <rFont val="WenQuanYi Zen Hei"/>
        <family val="2"/>
      </rPr>
      <t xml:space="preserve">빅토르 랑베르</t>
    </r>
    <r>
      <rPr>
        <sz val="10"/>
        <rFont val="Arial"/>
        <family val="0"/>
        <charset val="1"/>
      </rPr>
      <t xml:space="preserve">)</t>
    </r>
  </si>
  <si>
    <t xml:space="preserve">맞은편에 새로 연 경쟁 식당 주인</t>
  </si>
  <si>
    <r>
      <rPr>
        <sz val="10"/>
        <rFont val="Arial"/>
        <family val="0"/>
        <charset val="1"/>
      </rPr>
      <t xml:space="preserve">Mme Garnier (</t>
    </r>
    <r>
      <rPr>
        <sz val="10"/>
        <rFont val="WenQuanYi Zen Hei"/>
        <family val="2"/>
      </rPr>
      <t xml:space="preserve">가르니에</t>
    </r>
    <r>
      <rPr>
        <sz val="10"/>
        <rFont val="Arial"/>
        <family val="0"/>
        <charset val="1"/>
      </rPr>
      <t xml:space="preserve">)</t>
    </r>
  </si>
  <si>
    <t xml:space="preserve">은행 여신 담당자</t>
  </si>
  <si>
    <r>
      <rPr>
        <sz val="10"/>
        <rFont val="Arial"/>
        <family val="0"/>
        <charset val="1"/>
      </rPr>
      <t xml:space="preserve">Étienne Roux (</t>
    </r>
    <r>
      <rPr>
        <sz val="10"/>
        <rFont val="WenQuanYi Zen Hei"/>
        <family val="2"/>
      </rPr>
      <t xml:space="preserve">에티엔 루</t>
    </r>
    <r>
      <rPr>
        <sz val="10"/>
        <rFont val="Arial"/>
        <family val="0"/>
        <charset val="1"/>
      </rPr>
      <t xml:space="preserve">)</t>
    </r>
  </si>
  <si>
    <t xml:space="preserve">미식 비평가</t>
  </si>
  <si>
    <r>
      <rPr>
        <sz val="10"/>
        <rFont val="Arial"/>
        <family val="0"/>
        <charset val="1"/>
      </rPr>
      <t xml:space="preserve">Inspecteur Morel (</t>
    </r>
    <r>
      <rPr>
        <sz val="10"/>
        <rFont val="WenQuanYi Zen Hei"/>
        <family val="2"/>
      </rPr>
      <t xml:space="preserve">모렐</t>
    </r>
    <r>
      <rPr>
        <sz val="10"/>
        <rFont val="Arial"/>
        <family val="0"/>
        <charset val="1"/>
      </rPr>
      <t xml:space="preserve">)</t>
    </r>
  </si>
  <si>
    <t xml:space="preserve">위생 검사관</t>
  </si>
  <si>
    <r>
      <rPr>
        <sz val="10"/>
        <rFont val="Arial"/>
        <family val="0"/>
        <charset val="1"/>
      </rPr>
      <t xml:space="preserve">Me Aubry (</t>
    </r>
    <r>
      <rPr>
        <sz val="10"/>
        <rFont val="WenQuanYi Zen Hei"/>
        <family val="2"/>
      </rPr>
      <t xml:space="preserve">오브리 변호사</t>
    </r>
    <r>
      <rPr>
        <sz val="10"/>
        <rFont val="Arial"/>
        <family val="0"/>
        <charset val="1"/>
      </rPr>
      <t xml:space="preserve">)</t>
    </r>
  </si>
  <si>
    <t xml:space="preserve">회생 절차 담당</t>
  </si>
  <si>
    <r>
      <rPr>
        <sz val="10"/>
        <rFont val="Arial"/>
        <family val="0"/>
        <charset val="1"/>
      </rPr>
      <t xml:space="preserve">M. Faure (</t>
    </r>
    <r>
      <rPr>
        <sz val="10"/>
        <rFont val="WenQuanYi Zen Hei"/>
        <family val="2"/>
      </rPr>
      <t xml:space="preserve">포르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</si>
  <si>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외식 체인 그룹 대표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인수 제안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</si>
  <si>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Mme Delorme (</t>
    </r>
    <r>
      <rPr>
        <sz val="10"/>
        <rFont val="WenQuanYi Zen Hei"/>
        <family val="2"/>
      </rPr>
      <t xml:space="preserve">들로름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</si>
  <si>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호텔 지배인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케이터링 계약</t>
    </r>
    <r>
      <rPr>
        <sz val="10"/>
        <rFont val="Arial"/>
        <family val="0"/>
        <charset val="1"/>
      </rPr>
      <t xml:space="preserve">)</t>
    </r>
  </si>
  <si>
    <t xml:space="preserve">핵심 소품</t>
  </si>
  <si>
    <t xml:space="preserve">소품</t>
  </si>
  <si>
    <r>
      <rPr>
        <sz val="10"/>
        <rFont val="WenQuanYi Zen Hei"/>
        <family val="2"/>
      </rPr>
      <t xml:space="preserve">돌아가신 어머니 </t>
    </r>
    <r>
      <rPr>
        <sz val="10"/>
        <rFont val="Arial"/>
        <family val="0"/>
        <charset val="1"/>
      </rPr>
      <t xml:space="preserve">Marthe(</t>
    </r>
    <r>
      <rPr>
        <sz val="10"/>
        <rFont val="WenQuanYi Zen Hei"/>
        <family val="2"/>
      </rPr>
      <t xml:space="preserve">마르트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의 손글씨 레시피 노트와 칠판 메뉴판</t>
    </r>
    <r>
      <rPr>
        <sz val="10"/>
        <rFont val="Arial"/>
        <family val="0"/>
        <charset val="1"/>
      </rPr>
      <t xml:space="preserve">. 1</t>
    </r>
    <r>
      <rPr>
        <sz val="10"/>
        <rFont val="WenQuanYi Zen Hei"/>
        <family val="2"/>
      </rPr>
      <t xml:space="preserve">화에서 칠판에 첫 글씨를 쓰고</t>
    </r>
    <r>
      <rPr>
        <sz val="10"/>
        <rFont val="Arial"/>
        <family val="0"/>
        <charset val="1"/>
      </rPr>
      <t xml:space="preserve">, 75</t>
    </r>
    <r>
      <rPr>
        <sz val="10"/>
        <rFont val="WenQuanYi Zen Hei"/>
        <family val="2"/>
      </rPr>
      <t xml:space="preserve">화에서 클로에가 같은 칠판에 글씨를 씀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수미상관</t>
    </r>
    <r>
      <rPr>
        <sz val="10"/>
        <rFont val="Arial"/>
        <family val="0"/>
        <charset val="1"/>
      </rPr>
      <t xml:space="preserve">).</t>
    </r>
  </si>
  <si>
    <t xml:space="preserve">계절</t>
  </si>
  <si>
    <t xml:space="preserve">상황</t>
  </si>
  <si>
    <t xml:space="preserve">주 난이도</t>
  </si>
  <si>
    <t xml:space="preserve">A2</t>
  </si>
  <si>
    <t xml:space="preserve">B1</t>
  </si>
  <si>
    <t xml:space="preserve">B2</t>
  </si>
  <si>
    <t xml:space="preserve">C1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</si>
  <si>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Mise en place</t>
    </r>
  </si>
  <si>
    <t xml:space="preserve">봄</t>
  </si>
  <si>
    <t xml:space="preserve">평온</t>
  </si>
  <si>
    <t xml:space="preserve">A2~B1</t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</si>
  <si>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Premières fissures</t>
    </r>
  </si>
  <si>
    <t xml:space="preserve">여름</t>
  </si>
  <si>
    <t xml:space="preserve">위기의 시작</t>
  </si>
  <si>
    <t xml:space="preserve">B1~B2</t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</si>
  <si>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Au bord du gouffre</t>
    </r>
  </si>
  <si>
    <t xml:space="preserve">가을</t>
  </si>
  <si>
    <t xml:space="preserve">위기의 정점</t>
  </si>
  <si>
    <t xml:space="preserve">B2~C1</t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</si>
  <si>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La reconstruction</t>
    </r>
  </si>
  <si>
    <r>
      <rPr>
        <sz val="10"/>
        <rFont val="WenQuanYi Zen Hei"/>
        <family val="2"/>
      </rPr>
      <t xml:space="preserve">늦가을</t>
    </r>
    <r>
      <rPr>
        <sz val="10"/>
        <rFont val="Arial"/>
        <family val="0"/>
        <charset val="1"/>
      </rPr>
      <t xml:space="preserve">~</t>
    </r>
    <r>
      <rPr>
        <sz val="10"/>
        <rFont val="WenQuanYi Zen Hei"/>
        <family val="2"/>
      </rPr>
      <t xml:space="preserve">겨울</t>
    </r>
  </si>
  <si>
    <t xml:space="preserve">재건</t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</si>
  <si>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Le Comptoir de Marthe</t>
    </r>
  </si>
  <si>
    <r>
      <rPr>
        <sz val="10"/>
        <rFont val="WenQuanYi Zen Hei"/>
        <family val="2"/>
      </rPr>
      <t xml:space="preserve">이듬해 봄</t>
    </r>
    <r>
      <rPr>
        <sz val="10"/>
        <rFont val="Arial"/>
        <family val="0"/>
        <charset val="1"/>
      </rPr>
      <t xml:space="preserve">~</t>
    </r>
    <r>
      <rPr>
        <sz val="10"/>
        <rFont val="WenQuanYi Zen Hei"/>
        <family val="2"/>
      </rPr>
      <t xml:space="preserve">여름</t>
    </r>
  </si>
  <si>
    <t xml:space="preserve">성공 뒤의 시험</t>
  </si>
  <si>
    <t xml:space="preserve">화</t>
  </si>
  <si>
    <t xml:space="preserve">제목</t>
  </si>
  <si>
    <t xml:space="preserve">사건</t>
  </si>
  <si>
    <t xml:space="preserve">학습 포인트</t>
  </si>
  <si>
    <t xml:space="preserve">턴 수</t>
  </si>
  <si>
    <t xml:space="preserve">작성 상태</t>
  </si>
  <si>
    <t xml:space="preserve">Ouverture du mardi</t>
  </si>
  <si>
    <r>
      <rPr>
        <sz val="10"/>
        <rFont val="WenQuanYi Zen Hei"/>
        <family val="2"/>
      </rPr>
      <t xml:space="preserve">신입 클로에의 첫 출근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칠판에 첫 메뉴를 씀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직원 소개</t>
    </r>
  </si>
  <si>
    <r>
      <rPr>
        <sz val="10"/>
        <rFont val="WenQuanYi Zen Hei"/>
        <family val="2"/>
      </rPr>
      <t xml:space="preserve">인사</t>
    </r>
    <r>
      <rPr>
        <sz val="10"/>
        <rFont val="Arial"/>
        <family val="0"/>
        <charset val="1"/>
      </rPr>
      <t xml:space="preserve">, être/avoir, </t>
    </r>
    <r>
      <rPr>
        <sz val="10"/>
        <rFont val="WenQuanYi Zen Hei"/>
        <family val="2"/>
      </rPr>
      <t xml:space="preserve">시간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요일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직업</t>
    </r>
  </si>
  <si>
    <t xml:space="preserve">미작성</t>
  </si>
  <si>
    <t xml:space="preserve">L'ardoise du jour</t>
  </si>
  <si>
    <t xml:space="preserve">오늘의 요리 설명 연습</t>
  </si>
  <si>
    <r>
      <rPr>
        <sz val="10"/>
        <rFont val="WenQuanYi Zen Hei"/>
        <family val="2"/>
      </rPr>
      <t xml:space="preserve">부분관사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음식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설명 문형</t>
    </r>
  </si>
  <si>
    <t xml:space="preserve">Une table pour deux</t>
  </si>
  <si>
    <t xml:space="preserve">예약 전화와 좌석 안내</t>
  </si>
  <si>
    <r>
      <rPr>
        <sz val="10"/>
        <rFont val="WenQuanYi Zen Hei"/>
        <family val="2"/>
      </rPr>
      <t xml:space="preserve">예약 표현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인원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시각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정중한 </t>
    </r>
    <r>
      <rPr>
        <sz val="10"/>
        <rFont val="Arial"/>
        <family val="0"/>
        <charset val="1"/>
      </rPr>
      <t xml:space="preserve">vous</t>
    </r>
  </si>
  <si>
    <t xml:space="preserve">Prendre la commande</t>
  </si>
  <si>
    <r>
      <rPr>
        <sz val="10"/>
        <rFont val="WenQuanYi Zen Hei"/>
        <family val="2"/>
      </rPr>
      <t xml:space="preserve">첫 주문받기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알레르기 확인</t>
    </r>
  </si>
  <si>
    <r>
      <rPr>
        <sz val="10"/>
        <rFont val="WenQuanYi Zen Hei"/>
        <family val="2"/>
      </rPr>
      <t xml:space="preserve">주문 표현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의문문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형태</t>
    </r>
    <r>
      <rPr>
        <sz val="10"/>
        <rFont val="Arial"/>
        <family val="0"/>
        <charset val="1"/>
      </rPr>
      <t xml:space="preserve">, vouloir/pouvoir</t>
    </r>
  </si>
  <si>
    <t xml:space="preserve">Entrée, plat, dessert</t>
  </si>
  <si>
    <r>
      <rPr>
        <sz val="10"/>
        <rFont val="WenQuanYi Zen Hei"/>
        <family val="2"/>
      </rPr>
      <t xml:space="preserve">점심 포뮬</t>
    </r>
    <r>
      <rPr>
        <sz val="10"/>
        <rFont val="Arial"/>
        <family val="0"/>
        <charset val="1"/>
      </rPr>
      <t xml:space="preserve">(formule) </t>
    </r>
    <r>
      <rPr>
        <sz val="10"/>
        <rFont val="WenQuanYi Zen Hei"/>
        <family val="2"/>
      </rPr>
      <t xml:space="preserve">단체 손님</t>
    </r>
  </si>
  <si>
    <r>
      <rPr>
        <sz val="10"/>
        <rFont val="WenQuanYi Zen Hei"/>
        <family val="2"/>
      </rPr>
      <t xml:space="preserve">수량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선택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숫자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가격</t>
    </r>
  </si>
  <si>
    <t xml:space="preserve">Le steak trop cuit</t>
  </si>
  <si>
    <r>
      <rPr>
        <sz val="10"/>
        <rFont val="WenQuanYi Zen Hei"/>
        <family val="2"/>
      </rPr>
      <t xml:space="preserve">소소한 불만 </t>
    </r>
    <r>
      <rPr>
        <sz val="10"/>
        <rFont val="Arial"/>
        <family val="0"/>
        <charset val="1"/>
      </rPr>
      <t xml:space="preserve">1: </t>
    </r>
    <r>
      <rPr>
        <sz val="10"/>
        <rFont val="WenQuanYi Zen Hei"/>
        <family val="2"/>
      </rPr>
      <t xml:space="preserve">고기 익힘 정도</t>
    </r>
  </si>
  <si>
    <r>
      <rPr>
        <sz val="10"/>
        <rFont val="Arial"/>
        <family val="0"/>
        <charset val="1"/>
      </rPr>
      <t xml:space="preserve">cuisson </t>
    </r>
    <r>
      <rPr>
        <sz val="10"/>
        <rFont val="WenQuanYi Zen Hei"/>
        <family val="2"/>
      </rPr>
      <t xml:space="preserve">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사과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해결 표현</t>
    </r>
  </si>
  <si>
    <t xml:space="preserve">Livraison du matin</t>
  </si>
  <si>
    <t xml:space="preserve">납품업자 바스티드와 재료 검수</t>
  </si>
  <si>
    <r>
      <rPr>
        <sz val="10"/>
        <rFont val="WenQuanYi Zen Hei"/>
        <family val="2"/>
      </rPr>
      <t xml:space="preserve">식재료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무게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가격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비교급</t>
    </r>
  </si>
  <si>
    <t xml:space="preserve">Le coup de feu</t>
  </si>
  <si>
    <r>
      <rPr>
        <sz val="10"/>
        <rFont val="WenQuanYi Zen Hei"/>
        <family val="2"/>
      </rPr>
      <t xml:space="preserve">점심 피크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주방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홀 빠른 소통</t>
    </r>
  </si>
  <si>
    <r>
      <rPr>
        <sz val="10"/>
        <rFont val="WenQuanYi Zen Hei"/>
        <family val="2"/>
      </rPr>
      <t xml:space="preserve">명령형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단문 지시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대명사 입문</t>
    </r>
  </si>
  <si>
    <t xml:space="preserve">L'addition, s'il vous plaît</t>
  </si>
  <si>
    <r>
      <rPr>
        <sz val="10"/>
        <rFont val="WenQuanYi Zen Hei"/>
        <family val="2"/>
      </rPr>
      <t xml:space="preserve">계산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더치페이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결제 오류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팁</t>
    </r>
  </si>
  <si>
    <r>
      <rPr>
        <sz val="10"/>
        <rFont val="WenQuanYi Zen Hei"/>
        <family val="2"/>
      </rPr>
      <t xml:space="preserve">결제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숫자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수동적 표현</t>
    </r>
  </si>
  <si>
    <t xml:space="preserve">Mme Vasseur et sa table</t>
  </si>
  <si>
    <t xml:space="preserve">단골 불평쟁이 응대</t>
  </si>
  <si>
    <r>
      <rPr>
        <sz val="10"/>
        <rFont val="Arial"/>
        <family val="0"/>
        <charset val="1"/>
      </rPr>
      <t xml:space="preserve">imparfait(</t>
    </r>
    <r>
      <rPr>
        <sz val="10"/>
        <rFont val="WenQuanYi Zen Hei"/>
        <family val="2"/>
      </rPr>
      <t xml:space="preserve">습관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완곡 거절</t>
    </r>
  </si>
  <si>
    <t xml:space="preserve">Un touriste perdu</t>
  </si>
  <si>
    <t xml:space="preserve">외국인 손님에게 메뉴 설명</t>
  </si>
  <si>
    <r>
      <rPr>
        <sz val="10"/>
        <rFont val="WenQuanYi Zen Hei"/>
        <family val="2"/>
      </rPr>
      <t xml:space="preserve">설명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대안 제시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영어 혼용 대처</t>
    </r>
  </si>
  <si>
    <t xml:space="preserve">Anniversaire surprise</t>
  </si>
  <si>
    <t xml:space="preserve">깜짝 생일 케이크 이벤트</t>
  </si>
  <si>
    <r>
      <rPr>
        <sz val="10"/>
        <rFont val="Arial"/>
        <family val="0"/>
        <charset val="1"/>
      </rPr>
      <t xml:space="preserve">futur proche, </t>
    </r>
    <r>
      <rPr>
        <sz val="10"/>
        <rFont val="WenQuanYi Zen Hei"/>
        <family val="2"/>
      </rPr>
      <t xml:space="preserve">축하 표현</t>
    </r>
  </si>
  <si>
    <t xml:space="preserve">Dimanche en famille</t>
  </si>
  <si>
    <r>
      <rPr>
        <sz val="10"/>
        <rFont val="WenQuanYi Zen Hei"/>
        <family val="2"/>
      </rPr>
      <t xml:space="preserve">일요일 가족 브런치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아이 손님</t>
    </r>
  </si>
  <si>
    <r>
      <rPr>
        <sz val="10"/>
        <rFont val="WenQuanYi Zen Hei"/>
        <family val="2"/>
      </rPr>
      <t xml:space="preserve">가족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취향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선호</t>
    </r>
  </si>
  <si>
    <t xml:space="preserve">La commande oubliée</t>
  </si>
  <si>
    <t xml:space="preserve">주문 누락과 주방 실수</t>
  </si>
  <si>
    <r>
      <rPr>
        <sz val="10"/>
        <rFont val="Arial"/>
        <family val="0"/>
        <charset val="1"/>
      </rPr>
      <t xml:space="preserve">passé composé </t>
    </r>
    <r>
      <rPr>
        <sz val="10"/>
        <rFont val="WenQuanYi Zen Hei"/>
        <family val="2"/>
      </rPr>
      <t xml:space="preserve">서사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책임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사과</t>
    </r>
  </si>
  <si>
    <t xml:space="preserve">Fermeture et bilan</t>
  </si>
  <si>
    <r>
      <rPr>
        <sz val="10"/>
        <rFont val="WenQuanYi Zen Hei"/>
        <family val="2"/>
      </rPr>
      <t xml:space="preserve">마감 정산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우편함에서 건물주의 서류를 발견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클리프행어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</si>
  <si>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하루 정리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현재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미래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불안 표현</t>
    </r>
  </si>
  <si>
    <t xml:space="preserve">Le courrier du propriétaire</t>
  </si>
  <si>
    <t xml:space="preserve">임대료 인상 통지</t>
  </si>
  <si>
    <r>
      <rPr>
        <sz val="10"/>
        <rFont val="WenQuanYi Zen Hei"/>
        <family val="2"/>
      </rPr>
      <t xml:space="preserve">조건법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걱정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놀람 표현</t>
    </r>
  </si>
  <si>
    <t xml:space="preserve">Canicule en cuisine</t>
  </si>
  <si>
    <t xml:space="preserve">폭염에 냉장고 고장</t>
  </si>
  <si>
    <r>
      <rPr>
        <sz val="10"/>
        <rFont val="WenQuanYi Zen Hei"/>
        <family val="2"/>
      </rPr>
      <t xml:space="preserve">고장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수리 어휘</t>
    </r>
    <r>
      <rPr>
        <sz val="10"/>
        <rFont val="Arial"/>
        <family val="0"/>
        <charset val="1"/>
      </rPr>
      <t xml:space="preserve">, faire + </t>
    </r>
    <r>
      <rPr>
        <sz val="10"/>
        <rFont val="WenQuanYi Zen Hei"/>
        <family val="2"/>
      </rPr>
      <t xml:space="preserve">부정사</t>
    </r>
  </si>
  <si>
    <t xml:space="preserve">Les prix flambent</t>
  </si>
  <si>
    <r>
      <rPr>
        <sz val="10"/>
        <rFont val="WenQuanYi Zen Hei"/>
        <family val="2"/>
      </rPr>
      <t xml:space="preserve">납품가 인상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바스티드와 협상</t>
    </r>
  </si>
  <si>
    <r>
      <rPr>
        <sz val="10"/>
        <rFont val="WenQuanYi Zen Hei"/>
        <family val="2"/>
      </rPr>
      <t xml:space="preserve">협상 표현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증감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퍼센트</t>
    </r>
  </si>
  <si>
    <t xml:space="preserve">Une critique assassine</t>
  </si>
  <si>
    <t xml:space="preserve">온라인 혹평 후기</t>
  </si>
  <si>
    <r>
      <rPr>
        <sz val="10"/>
        <rFont val="WenQuanYi Zen Hei"/>
        <family val="2"/>
      </rPr>
      <t xml:space="preserve">평가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간접화법</t>
    </r>
  </si>
  <si>
    <t xml:space="preserve">Le départ de Karim</t>
  </si>
  <si>
    <t xml:space="preserve">부주방장의 이직</t>
  </si>
  <si>
    <r>
      <rPr>
        <sz val="10"/>
        <rFont val="WenQuanYi Zen Hei"/>
        <family val="2"/>
      </rPr>
      <t xml:space="preserve">접속법 입문</t>
    </r>
    <r>
      <rPr>
        <sz val="10"/>
        <rFont val="Arial"/>
        <family val="0"/>
        <charset val="1"/>
      </rPr>
      <t xml:space="preserve">(regretter que), </t>
    </r>
    <r>
      <rPr>
        <sz val="10"/>
        <rFont val="WenQuanYi Zen Hei"/>
        <family val="2"/>
      </rPr>
      <t xml:space="preserve">작별 표현</t>
    </r>
  </si>
  <si>
    <t xml:space="preserve">Moins de couverts</t>
  </si>
  <si>
    <r>
      <rPr>
        <sz val="10"/>
        <rFont val="WenQuanYi Zen Hei"/>
        <family val="2"/>
      </rPr>
      <t xml:space="preserve">텅 빈 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매출 분석 회의</t>
    </r>
  </si>
  <si>
    <r>
      <rPr>
        <sz val="10"/>
        <rFont val="WenQuanYi Zen Hei"/>
        <family val="2"/>
      </rPr>
      <t xml:space="preserve">통계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원인 분석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연결어</t>
    </r>
  </si>
  <si>
    <t xml:space="preserve">Réduire la carte</t>
  </si>
  <si>
    <t xml:space="preserve">메뉴 축소 논쟁</t>
  </si>
  <si>
    <r>
      <rPr>
        <sz val="10"/>
        <rFont val="WenQuanYi Zen Hei"/>
        <family val="2"/>
      </rPr>
      <t xml:space="preserve">찬반 표현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양보</t>
    </r>
  </si>
  <si>
    <t xml:space="preserve">Un vrai mécontentement</t>
  </si>
  <si>
    <t xml:space="preserve">심각한 불만과 환불 요구</t>
  </si>
  <si>
    <r>
      <rPr>
        <sz val="10"/>
        <rFont val="WenQuanYi Zen Hei"/>
        <family val="2"/>
      </rPr>
      <t xml:space="preserve">사과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보상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법적 표현 입문</t>
    </r>
  </si>
  <si>
    <t xml:space="preserve">L'influenceuse</t>
  </si>
  <si>
    <r>
      <rPr>
        <sz val="10"/>
        <rFont val="Arial"/>
        <family val="0"/>
        <charset val="1"/>
      </rPr>
      <t xml:space="preserve">SNS </t>
    </r>
    <r>
      <rPr>
        <sz val="10"/>
        <rFont val="WenQuanYi Zen Hei"/>
        <family val="2"/>
      </rPr>
      <t xml:space="preserve">인플루언서 초대</t>
    </r>
  </si>
  <si>
    <r>
      <rPr>
        <sz val="10"/>
        <rFont val="Arial"/>
        <family val="0"/>
        <charset val="1"/>
      </rPr>
      <t xml:space="preserve">SNS·</t>
    </r>
    <r>
      <rPr>
        <sz val="10"/>
        <rFont val="WenQuanYi Zen Hei"/>
        <family val="2"/>
      </rPr>
      <t xml:space="preserve">마케팅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미래형</t>
    </r>
  </si>
  <si>
    <t xml:space="preserve">Victor, le voisin d'en face</t>
  </si>
  <si>
    <t xml:space="preserve">맞은편 신규 식당과 경쟁</t>
  </si>
  <si>
    <r>
      <rPr>
        <sz val="10"/>
        <rFont val="WenQuanYi Zen Hei"/>
        <family val="2"/>
      </rPr>
      <t xml:space="preserve">비교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최상급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질투 표현</t>
    </r>
  </si>
  <si>
    <t xml:space="preserve">Nerfs à vif</t>
  </si>
  <si>
    <t xml:space="preserve">과로와 직원 간 갈등</t>
  </si>
  <si>
    <r>
      <rPr>
        <sz val="10"/>
        <rFont val="WenQuanYi Zen Hei"/>
        <family val="2"/>
      </rPr>
      <t xml:space="preserve">비난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변명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대명동사</t>
    </r>
  </si>
  <si>
    <t xml:space="preserve">La méthode de Lucien</t>
  </si>
  <si>
    <t xml:space="preserve">아버지의 옛 방식 제안</t>
  </si>
  <si>
    <r>
      <rPr>
        <sz val="10"/>
        <rFont val="Arial"/>
        <family val="0"/>
        <charset val="1"/>
      </rPr>
      <t xml:space="preserve">imparfait vs passé composé, </t>
    </r>
    <r>
      <rPr>
        <sz val="10"/>
        <rFont val="WenQuanYi Zen Hei"/>
        <family val="2"/>
      </rPr>
      <t xml:space="preserve">회상</t>
    </r>
  </si>
  <si>
    <t xml:space="preserve">Soirée privée</t>
  </si>
  <si>
    <r>
      <rPr>
        <sz val="10"/>
        <rFont val="WenQuanYi Zen Hei"/>
        <family val="2"/>
      </rPr>
      <t xml:space="preserve">프라이빗 행사 수주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견적</t>
    </r>
  </si>
  <si>
    <r>
      <rPr>
        <sz val="10"/>
        <rFont val="WenQuanYi Zen Hei"/>
        <family val="2"/>
      </rPr>
      <t xml:space="preserve">견적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가격 제시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조건 협의</t>
    </r>
  </si>
  <si>
    <t xml:space="preserve">Le doute de Julien</t>
  </si>
  <si>
    <t xml:space="preserve">줄리앙의 이직 고민과 제안</t>
  </si>
  <si>
    <r>
      <rPr>
        <sz val="10"/>
        <rFont val="WenQuanYi Zen Hei"/>
        <family val="2"/>
      </rPr>
      <t xml:space="preserve">대과거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제안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설득</t>
    </r>
  </si>
  <si>
    <t xml:space="preserve">Dernier service d'août</t>
  </si>
  <si>
    <r>
      <rPr>
        <sz val="10"/>
        <rFont val="WenQuanYi Zen Hei"/>
        <family val="2"/>
      </rPr>
      <t xml:space="preserve">여름 결산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은행 약속이 잡힘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클리프행어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</si>
  <si>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요약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결산 표현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불확실성</t>
    </r>
  </si>
  <si>
    <t xml:space="preserve">Rendez-vous à la banque</t>
  </si>
  <si>
    <t xml:space="preserve">가르니에와의 대출 상담</t>
  </si>
  <si>
    <r>
      <rPr>
        <sz val="10"/>
        <rFont val="WenQuanYi Zen Hei"/>
        <family val="2"/>
      </rPr>
      <t xml:space="preserve">금융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격식 대화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설득</t>
    </r>
  </si>
  <si>
    <t xml:space="preserve">Le refus</t>
  </si>
  <si>
    <t xml:space="preserve">대출 거절과 충격</t>
  </si>
  <si>
    <r>
      <rPr>
        <sz val="10"/>
        <rFont val="WenQuanYi Zen Hei"/>
        <family val="2"/>
      </rPr>
      <t xml:space="preserve">감정 서술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수동태</t>
    </r>
  </si>
  <si>
    <t xml:space="preserve">L'inspection</t>
  </si>
  <si>
    <t xml:space="preserve">위생 검사관의 불시 방문</t>
  </si>
  <si>
    <r>
      <rPr>
        <sz val="10"/>
        <rFont val="WenQuanYi Zen Hei"/>
        <family val="2"/>
      </rPr>
      <t xml:space="preserve">규정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행정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접속법</t>
    </r>
  </si>
  <si>
    <t xml:space="preserve">Fermeture administrative</t>
  </si>
  <si>
    <t xml:space="preserve">임시 영업정지</t>
  </si>
  <si>
    <r>
      <rPr>
        <sz val="10"/>
        <rFont val="WenQuanYi Zen Hei"/>
        <family val="2"/>
      </rPr>
      <t xml:space="preserve">법률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공문 낭독</t>
    </r>
  </si>
  <si>
    <t xml:space="preserve">Les adieux au personnel</t>
  </si>
  <si>
    <t xml:space="preserve">직원들에게 휴직 통보</t>
  </si>
  <si>
    <r>
      <rPr>
        <sz val="10"/>
        <rFont val="WenQuanYi Zen Hei"/>
        <family val="2"/>
      </rPr>
      <t xml:space="preserve">완곡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유감 표현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접속법</t>
    </r>
  </si>
  <si>
    <t xml:space="preserve">Nuit blanche</t>
  </si>
  <si>
    <t xml:space="preserve">엘렌의 내적 독백</t>
  </si>
  <si>
    <r>
      <rPr>
        <sz val="10"/>
        <rFont val="WenQuanYi Zen Hei"/>
        <family val="2"/>
      </rPr>
      <t xml:space="preserve">혼잣말 구어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생략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반복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끊어 말하기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내면 서술</t>
    </r>
  </si>
  <si>
    <t xml:space="preserve">Conseil de famille</t>
  </si>
  <si>
    <r>
      <rPr>
        <sz val="10"/>
        <rFont val="WenQuanYi Zen Hei"/>
        <family val="2"/>
      </rPr>
      <t xml:space="preserve">아버지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딸 가족 회의</t>
    </r>
  </si>
  <si>
    <r>
      <rPr>
        <sz val="10"/>
        <rFont val="WenQuanYi Zen Hei"/>
        <family val="2"/>
      </rPr>
      <t xml:space="preserve">조건법 과거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가정</t>
    </r>
  </si>
  <si>
    <t xml:space="preserve">L'offre de rachat</t>
  </si>
  <si>
    <t xml:space="preserve">체인 그룹 포르 대표의 인수 제안</t>
  </si>
  <si>
    <r>
      <rPr>
        <sz val="10"/>
        <rFont val="WenQuanYi Zen Hei"/>
        <family val="2"/>
      </rPr>
      <t xml:space="preserve">계약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협상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양보</t>
    </r>
  </si>
  <si>
    <t xml:space="preserve">Chloé ne lâche pas</t>
  </si>
  <si>
    <t xml:space="preserve">견습생 클로에의 반전 제안</t>
  </si>
  <si>
    <r>
      <rPr>
        <sz val="10"/>
        <rFont val="WenQuanYi Zen Hei"/>
        <family val="2"/>
      </rPr>
      <t xml:space="preserve">논증 구조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설득</t>
    </r>
  </si>
  <si>
    <t xml:space="preserve">La pétition des habitués</t>
  </si>
  <si>
    <t xml:space="preserve">단골들의 청원서 낭독</t>
  </si>
  <si>
    <r>
      <rPr>
        <sz val="10"/>
        <rFont val="WenQuanYi Zen Hei"/>
        <family val="2"/>
      </rPr>
      <t xml:space="preserve">호소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공감 표현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청원문은 짧게 낭독하고 반응은 구어로</t>
    </r>
  </si>
  <si>
    <t xml:space="preserve">Le critique revient</t>
  </si>
  <si>
    <t xml:space="preserve">비평가 에티엔 루 재방문</t>
  </si>
  <si>
    <r>
      <rPr>
        <sz val="10"/>
        <rFont val="WenQuanYi Zen Hei"/>
        <family val="2"/>
      </rPr>
      <t xml:space="preserve">미식 비평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형용사</t>
    </r>
  </si>
  <si>
    <t xml:space="preserve">La grande dispute</t>
  </si>
  <si>
    <t xml:space="preserve">아버지와 큰 다툼</t>
  </si>
  <si>
    <r>
      <rPr>
        <sz val="10"/>
        <rFont val="WenQuanYi Zen Hei"/>
        <family val="2"/>
      </rPr>
      <t xml:space="preserve">접속법 과거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비난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화해</t>
    </r>
  </si>
  <si>
    <t xml:space="preserve">Le carnet de Marthe</t>
  </si>
  <si>
    <t xml:space="preserve">어머니의 레시피 노트 발견</t>
  </si>
  <si>
    <r>
      <rPr>
        <sz val="10"/>
        <rFont val="WenQuanYi Zen Hei"/>
        <family val="2"/>
      </rPr>
      <t xml:space="preserve">대과거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회상 서사</t>
    </r>
  </si>
  <si>
    <t xml:space="preserve">Chez Maître Aubry</t>
  </si>
  <si>
    <t xml:space="preserve">변호사와 회생 절차 상담</t>
  </si>
  <si>
    <r>
      <rPr>
        <sz val="10"/>
        <rFont val="WenQuanYi Zen Hei"/>
        <family val="2"/>
      </rPr>
      <t xml:space="preserve">법률 상담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조건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절차 설명</t>
    </r>
  </si>
  <si>
    <t xml:space="preserve">La décision d'Hélène</t>
  </si>
  <si>
    <r>
      <rPr>
        <sz val="10"/>
        <rFont val="WenQuanYi Zen Hei"/>
        <family val="2"/>
      </rPr>
      <t xml:space="preserve">인수 제안 거절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회생 절차 신청 결정 </t>
    </r>
    <r>
      <rPr>
        <sz val="10"/>
        <rFont val="Arial"/>
        <family val="0"/>
        <charset val="1"/>
      </rPr>
      <t xml:space="preserve">(3</t>
    </r>
    <r>
      <rPr>
        <sz val="10"/>
        <rFont val="WenQuanYi Zen Hei"/>
        <family val="2"/>
      </rPr>
      <t xml:space="preserve">부 마무리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</si>
  <si>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결정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의지 표현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가정문 종합</t>
    </r>
  </si>
  <si>
    <t xml:space="preserve">Le tribunal de commerce</t>
  </si>
  <si>
    <r>
      <rPr>
        <sz val="10"/>
        <rFont val="WenQuanYi Zen Hei"/>
        <family val="2"/>
      </rPr>
      <t xml:space="preserve">상사법원 심문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절차 개시</t>
    </r>
  </si>
  <si>
    <r>
      <rPr>
        <sz val="10"/>
        <rFont val="WenQuanYi Zen Hei"/>
        <family val="2"/>
      </rPr>
      <t xml:space="preserve">법원 절차 설명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변호사가 쉽게 풀어 말함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전문 어휘</t>
    </r>
  </si>
  <si>
    <t xml:space="preserve">Les créanciers</t>
  </si>
  <si>
    <r>
      <rPr>
        <sz val="10"/>
        <rFont val="WenQuanYi Zen Hei"/>
        <family val="2"/>
      </rPr>
      <t xml:space="preserve">채권자 협의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분할 상환 계획</t>
    </r>
  </si>
  <si>
    <r>
      <rPr>
        <sz val="10"/>
        <rFont val="WenQuanYi Zen Hei"/>
        <family val="2"/>
      </rPr>
      <t xml:space="preserve">협상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양보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수치 설명</t>
    </r>
  </si>
  <si>
    <t xml:space="preserve">Le financement participatif</t>
  </si>
  <si>
    <t xml:space="preserve">크라우드펀딩 영상 촬영과 호소</t>
  </si>
  <si>
    <r>
      <rPr>
        <sz val="10"/>
        <rFont val="WenQuanYi Zen Hei"/>
        <family val="2"/>
      </rPr>
      <t xml:space="preserve">구어체 호소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수사 질문</t>
    </r>
  </si>
  <si>
    <t xml:space="preserve">Le retour de Karim</t>
  </si>
  <si>
    <t xml:space="preserve">카림의 복귀와 화해</t>
  </si>
  <si>
    <r>
      <rPr>
        <sz val="10"/>
        <rFont val="WenQuanYi Zen Hei"/>
        <family val="2"/>
      </rPr>
      <t xml:space="preserve">사과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용서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접속법</t>
    </r>
  </si>
  <si>
    <t xml:space="preserve">Les producteurs répondent</t>
  </si>
  <si>
    <t xml:space="preserve">지방 소규모 생산자와의 연대 계약</t>
  </si>
  <si>
    <r>
      <rPr>
        <sz val="10"/>
        <rFont val="WenQuanYi Zen Hei"/>
        <family val="2"/>
      </rPr>
      <t xml:space="preserve">농산물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계약 어휘</t>
    </r>
  </si>
  <si>
    <t xml:space="preserve">Chantier et bonnes surprises</t>
  </si>
  <si>
    <t xml:space="preserve">가게 보수 공사</t>
  </si>
  <si>
    <r>
      <rPr>
        <sz val="10"/>
        <rFont val="WenQuanYi Zen Hei"/>
        <family val="2"/>
      </rPr>
      <t xml:space="preserve">건축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공사 어휘</t>
    </r>
    <r>
      <rPr>
        <sz val="10"/>
        <rFont val="Arial"/>
        <family val="0"/>
        <charset val="1"/>
      </rPr>
      <t xml:space="preserve">, faire + </t>
    </r>
    <r>
      <rPr>
        <sz val="10"/>
        <rFont val="WenQuanYi Zen Hei"/>
        <family val="2"/>
      </rPr>
      <t xml:space="preserve">부정사</t>
    </r>
  </si>
  <si>
    <t xml:space="preserve">La carte de saison</t>
  </si>
  <si>
    <t xml:space="preserve">제철 메뉴 재구성</t>
  </si>
  <si>
    <r>
      <rPr>
        <sz val="10"/>
        <rFont val="WenQuanYi Zen Hei"/>
        <family val="2"/>
      </rPr>
      <t xml:space="preserve">요리 설명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미식 어휘</t>
    </r>
  </si>
  <si>
    <t xml:space="preserve">Le repas test</t>
  </si>
  <si>
    <t xml:space="preserve">지인 초청 시식회</t>
  </si>
  <si>
    <r>
      <rPr>
        <sz val="10"/>
        <rFont val="WenQuanYi Zen Hei"/>
        <family val="2"/>
      </rPr>
      <t xml:space="preserve">감각 표현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평가</t>
    </r>
  </si>
  <si>
    <t xml:space="preserve">Rouvrir</t>
  </si>
  <si>
    <t xml:space="preserve">재개점 첫날의 긴장</t>
  </si>
  <si>
    <r>
      <rPr>
        <sz val="10"/>
        <rFont val="WenQuanYi Zen Hei"/>
        <family val="2"/>
      </rPr>
      <t xml:space="preserve">환영 인사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긴장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안도 표현</t>
    </r>
  </si>
  <si>
    <t xml:space="preserve">Victor frappe à la porte</t>
  </si>
  <si>
    <t xml:space="preserve">라이벌의 뜻밖의 협력 제안</t>
  </si>
  <si>
    <r>
      <rPr>
        <sz val="10"/>
        <rFont val="WenQuanYi Zen Hei"/>
        <family val="2"/>
      </rPr>
      <t xml:space="preserve">화해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타협 표현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비교</t>
    </r>
  </si>
  <si>
    <t xml:space="preserve">Le soir des critiques</t>
  </si>
  <si>
    <r>
      <rPr>
        <sz val="10"/>
        <rFont val="WenQuanYi Zen Hei"/>
        <family val="2"/>
      </rPr>
      <t xml:space="preserve">기자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비평가 동시 방문</t>
    </r>
  </si>
  <si>
    <r>
      <rPr>
        <sz val="10"/>
        <rFont val="WenQuanYi Zen Hei"/>
        <family val="2"/>
      </rPr>
      <t xml:space="preserve">인터뷰 화법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간접화법</t>
    </r>
  </si>
  <si>
    <t xml:space="preserve">Le guide passe</t>
  </si>
  <si>
    <t xml:space="preserve">미식 가이드 심사관의 익명 방문</t>
  </si>
  <si>
    <r>
      <rPr>
        <sz val="10"/>
        <rFont val="WenQuanYi Zen Hei"/>
        <family val="2"/>
      </rPr>
      <t xml:space="preserve">긴장 서사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완곡 표현</t>
    </r>
  </si>
  <si>
    <t xml:space="preserve">Réveillon au Comptoir</t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</si>
  <si>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31</t>
    </r>
    <r>
      <rPr>
        <sz val="10"/>
        <rFont val="WenQuanYi Zen Hei"/>
        <family val="2"/>
      </rPr>
      <t xml:space="preserve">일 만석</t>
    </r>
  </si>
  <si>
    <r>
      <rPr>
        <sz val="10"/>
        <rFont val="WenQuanYi Zen Hei"/>
        <family val="2"/>
      </rPr>
      <t xml:space="preserve">건배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덕담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다인 대화</t>
    </r>
  </si>
  <si>
    <t xml:space="preserve">Le premier bilan</t>
  </si>
  <si>
    <t xml:space="preserve">첫 월 흑자 보고</t>
  </si>
  <si>
    <r>
      <rPr>
        <sz val="10"/>
        <rFont val="WenQuanYi Zen Hei"/>
        <family val="2"/>
      </rPr>
      <t xml:space="preserve">숫자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결산 표현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요약</t>
    </r>
  </si>
  <si>
    <t xml:space="preserve">Résolutions de janvier</t>
  </si>
  <si>
    <r>
      <rPr>
        <sz val="10"/>
        <rFont val="WenQuanYi Zen Hei"/>
        <family val="2"/>
      </rPr>
      <t xml:space="preserve">새해 결심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호텔의 케이터링 제안서가 도착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클리프행어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</si>
  <si>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결심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계획 표현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미래 서술</t>
    </r>
  </si>
  <si>
    <t xml:space="preserve">Le succès et ses revers</t>
  </si>
  <si>
    <t xml:space="preserve">예약 폭주와 과로</t>
  </si>
  <si>
    <r>
      <rPr>
        <sz val="10"/>
        <rFont val="WenQuanYi Zen Hei"/>
        <family val="2"/>
      </rPr>
      <t xml:space="preserve">원인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결과 연결어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피로 표현</t>
    </r>
  </si>
  <si>
    <t xml:space="preserve">Recruter</t>
  </si>
  <si>
    <t xml:space="preserve">신규 채용 면접</t>
  </si>
  <si>
    <r>
      <rPr>
        <sz val="10"/>
        <rFont val="WenQuanYi Zen Hei"/>
        <family val="2"/>
      </rPr>
      <t xml:space="preserve">채용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이력서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질문 화법</t>
    </r>
  </si>
  <si>
    <t xml:space="preserve">L'offre de l'hôtel</t>
  </si>
  <si>
    <t xml:space="preserve">호텔 지배인과 케이터링 계약 협상</t>
  </si>
  <si>
    <r>
      <rPr>
        <sz val="10"/>
        <rFont val="WenQuanYi Zen Hei"/>
        <family val="2"/>
      </rPr>
      <t xml:space="preserve">호텔 서비스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조건 협상</t>
    </r>
  </si>
  <si>
    <t xml:space="preserve">Banquet au Grand Hôtel</t>
  </si>
  <si>
    <t xml:space="preserve">호텔 연회 서비스</t>
  </si>
  <si>
    <r>
      <rPr>
        <sz val="10"/>
        <rFont val="WenQuanYi Zen Hei"/>
        <family val="2"/>
      </rPr>
      <t xml:space="preserve">대규모 서비스 지시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격식 표현</t>
    </r>
  </si>
  <si>
    <t xml:space="preserve">La tentation de s'agrandir</t>
  </si>
  <si>
    <t xml:space="preserve">옆 점포 확장 제안</t>
  </si>
  <si>
    <r>
      <rPr>
        <sz val="10"/>
        <rFont val="WenQuanYi Zen Hei"/>
        <family val="2"/>
      </rPr>
      <t xml:space="preserve">투자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위험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가정문</t>
    </r>
  </si>
  <si>
    <t xml:space="preserve">Julien, associé</t>
  </si>
  <si>
    <t xml:space="preserve">줄리앙이 지분을 갖는 동업자가 됨</t>
  </si>
  <si>
    <r>
      <rPr>
        <sz val="10"/>
        <rFont val="WenQuanYi Zen Hei"/>
        <family val="2"/>
      </rPr>
      <t xml:space="preserve">지분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계약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격식 대화</t>
    </r>
  </si>
  <si>
    <t xml:space="preserve">Un client célèbre</t>
  </si>
  <si>
    <r>
      <rPr>
        <sz val="10"/>
        <rFont val="WenQuanYi Zen Hei"/>
        <family val="2"/>
      </rPr>
      <t xml:space="preserve">유명 손님 방문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프라이버시</t>
    </r>
  </si>
  <si>
    <r>
      <rPr>
        <sz val="10"/>
        <rFont val="WenQuanYi Zen Hei"/>
        <family val="2"/>
      </rPr>
      <t xml:space="preserve">완곡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신중한 응대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조건법</t>
    </r>
  </si>
  <si>
    <t xml:space="preserve">Le reportage télé</t>
  </si>
  <si>
    <r>
      <rPr>
        <sz val="10"/>
        <rFont val="Arial"/>
        <family val="0"/>
        <charset val="1"/>
      </rPr>
      <t xml:space="preserve">TV </t>
    </r>
    <r>
      <rPr>
        <sz val="10"/>
        <rFont val="WenQuanYi Zen Hei"/>
        <family val="2"/>
      </rPr>
      <t xml:space="preserve">촬영 팀 방문</t>
    </r>
  </si>
  <si>
    <r>
      <rPr>
        <sz val="10"/>
        <rFont val="WenQuanYi Zen Hei"/>
        <family val="2"/>
      </rPr>
      <t xml:space="preserve">미디어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인터뷰</t>
    </r>
  </si>
  <si>
    <t xml:space="preserve">Grève et pénurie</t>
  </si>
  <si>
    <r>
      <rPr>
        <sz val="10"/>
        <rFont val="WenQuanYi Zen Hei"/>
        <family val="2"/>
      </rPr>
      <t xml:space="preserve">파업으로 납품 차질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임기응변</t>
    </r>
  </si>
  <si>
    <r>
      <rPr>
        <sz val="10"/>
        <rFont val="WenQuanYi Zen Hei"/>
        <family val="2"/>
      </rPr>
      <t xml:space="preserve">비상 대응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대안 제시</t>
    </r>
  </si>
  <si>
    <t xml:space="preserve">Lucien à l'hôpital</t>
  </si>
  <si>
    <t xml:space="preserve">뤼시앵이 쓰러져 입원</t>
  </si>
  <si>
    <r>
      <rPr>
        <sz val="10"/>
        <rFont val="WenQuanYi Zen Hei"/>
        <family val="2"/>
      </rPr>
      <t xml:space="preserve">병원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의료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불안과 위로</t>
    </r>
  </si>
  <si>
    <t xml:space="preserve">Transmission</t>
  </si>
  <si>
    <t xml:space="preserve">병상에서 레시피와 가게의 전수</t>
  </si>
  <si>
    <r>
      <rPr>
        <sz val="10"/>
        <rFont val="WenQuanYi Zen Hei"/>
        <family val="2"/>
      </rPr>
      <t xml:space="preserve">회상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차분한 구어 독백</t>
    </r>
  </si>
  <si>
    <t xml:space="preserve">Le courrier du guide</t>
  </si>
  <si>
    <t xml:space="preserve">미식 가이드 선정 소식</t>
  </si>
  <si>
    <r>
      <rPr>
        <sz val="10"/>
        <rFont val="WenQuanYi Zen Hei"/>
        <family val="2"/>
      </rPr>
      <t xml:space="preserve">기쁨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감정 폭발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감탄 표현</t>
    </r>
  </si>
  <si>
    <t xml:space="preserve">Mme Vasseur fête ses quatre-vingts ans</t>
  </si>
  <si>
    <r>
      <rPr>
        <sz val="10"/>
        <rFont val="WenQuanYi Zen Hei"/>
        <family val="2"/>
      </rPr>
      <t xml:space="preserve">단골 </t>
    </r>
    <r>
      <rPr>
        <sz val="10"/>
        <rFont val="Arial"/>
        <family val="0"/>
        <charset val="1"/>
      </rPr>
      <t xml:space="preserve">80</t>
    </r>
    <r>
      <rPr>
        <sz val="10"/>
        <rFont val="WenQuanYi Zen Hei"/>
        <family val="2"/>
      </rPr>
      <t xml:space="preserve">세 생일 잔치</t>
    </r>
  </si>
  <si>
    <r>
      <rPr>
        <sz val="10"/>
        <rFont val="WenQuanYi Zen Hei"/>
        <family val="2"/>
      </rPr>
      <t xml:space="preserve">덕담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축사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회고</t>
    </r>
  </si>
  <si>
    <t xml:space="preserve">Lucien raccroche son tablier</t>
  </si>
  <si>
    <t xml:space="preserve">뤼시앵의 은퇴 연설</t>
  </si>
  <si>
    <r>
      <rPr>
        <sz val="10"/>
        <rFont val="WenQuanYi Zen Hei"/>
        <family val="2"/>
      </rPr>
      <t xml:space="preserve">구어체 연설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관용구</t>
    </r>
  </si>
  <si>
    <t xml:space="preserve">Le Comptoir de Marthe</t>
  </si>
  <si>
    <r>
      <rPr>
        <sz val="10"/>
        <rFont val="WenQuanYi Zen Hei"/>
        <family val="2"/>
      </rPr>
      <t xml:space="preserve">다시 시작되는 화요일 아침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클로에가 신입을 맞이하고 칠판에 글씨를 씀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</si>
  <si>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 수미상관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총정리</t>
    </r>
  </si>
  <si>
    <t xml:space="preserve">원칙</t>
  </si>
  <si>
    <t xml:space="preserve">기본 문체</t>
  </si>
  <si>
    <r>
      <rPr>
        <sz val="10"/>
        <rFont val="WenQuanYi Zen Hei"/>
        <family val="2"/>
      </rPr>
      <t xml:space="preserve">일상 구어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문어적 문형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접속법 반과거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대과거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단순과거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과도한 도치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은 쓰지 않는다</t>
    </r>
  </si>
  <si>
    <t xml:space="preserve">구어 특징</t>
  </si>
  <si>
    <r>
      <rPr>
        <sz val="10"/>
        <rFont val="Arial"/>
        <family val="0"/>
        <charset val="1"/>
      </rPr>
      <t xml:space="preserve">ne </t>
    </r>
    <r>
      <rPr>
        <sz val="10"/>
        <rFont val="WenQuanYi Zen Hei"/>
        <family val="2"/>
      </rPr>
      <t xml:space="preserve">생략</t>
    </r>
    <r>
      <rPr>
        <sz val="10"/>
        <rFont val="Arial"/>
        <family val="0"/>
        <charset val="1"/>
      </rPr>
      <t xml:space="preserve">(Je sais pas), on(= nous), tu/vous </t>
    </r>
    <r>
      <rPr>
        <sz val="10"/>
        <rFont val="WenQuanYi Zen Hei"/>
        <family val="2"/>
      </rPr>
      <t xml:space="preserve">구분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축약</t>
    </r>
    <r>
      <rPr>
        <sz val="10"/>
        <rFont val="Arial"/>
        <family val="0"/>
        <charset val="1"/>
      </rPr>
      <t xml:space="preserve">(t'as, y a, j'sais), </t>
    </r>
    <r>
      <rPr>
        <sz val="10"/>
        <rFont val="WenQuanYi Zen Hei"/>
        <family val="2"/>
      </rPr>
      <t xml:space="preserve">생략문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문장 끝 확인</t>
    </r>
    <r>
      <rPr>
        <sz val="10"/>
        <rFont val="Arial"/>
        <family val="0"/>
        <charset val="1"/>
      </rPr>
      <t xml:space="preserve">(hein, non ?, quoi)</t>
    </r>
  </si>
  <si>
    <t xml:space="preserve">담화표지</t>
  </si>
  <si>
    <r>
      <rPr>
        <sz val="10"/>
        <rFont val="Arial"/>
        <family val="0"/>
        <charset val="1"/>
      </rPr>
      <t xml:space="preserve">ben, bah, enfin, alors, du coup, en fait, bon, tiens, écoute </t>
    </r>
    <r>
      <rPr>
        <sz val="10"/>
        <rFont val="WenQuanYi Zen Hei"/>
        <family val="2"/>
      </rPr>
      <t xml:space="preserve">등을 자연스럽게 배치</t>
    </r>
  </si>
  <si>
    <t xml:space="preserve">어휘 층위</t>
  </si>
  <si>
    <r>
      <rPr>
        <sz val="10"/>
        <rFont val="WenQuanYi Zen Hei"/>
        <family val="2"/>
      </rPr>
      <t xml:space="preserve">손님 앞은 정중한 </t>
    </r>
    <r>
      <rPr>
        <sz val="10"/>
        <rFont val="Arial"/>
        <family val="0"/>
        <charset val="1"/>
      </rPr>
      <t xml:space="preserve">vous. </t>
    </r>
    <r>
      <rPr>
        <sz val="10"/>
        <rFont val="WenQuanYi Zen Hei"/>
        <family val="2"/>
      </rPr>
      <t xml:space="preserve">주방 안과 가족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동료 사이는 </t>
    </r>
    <r>
      <rPr>
        <sz val="10"/>
        <rFont val="Arial"/>
        <family val="0"/>
        <charset val="1"/>
      </rPr>
      <t xml:space="preserve">tu</t>
    </r>
    <r>
      <rPr>
        <sz val="10"/>
        <rFont val="WenQuanYi Zen Hei"/>
        <family val="2"/>
      </rPr>
      <t xml:space="preserve">와 생생한 속어 </t>
    </r>
    <r>
      <rPr>
        <sz val="10"/>
        <rFont val="Arial"/>
        <family val="0"/>
        <charset val="1"/>
      </rPr>
      <t xml:space="preserve">(bouffe, boulot, galère, ras-le-bol, j'en ai marre)</t>
    </r>
  </si>
  <si>
    <t xml:space="preserve">거친 표현</t>
  </si>
  <si>
    <r>
      <rPr>
        <sz val="10"/>
        <rFont val="WenQuanYi Zen Hei"/>
        <family val="2"/>
      </rPr>
      <t xml:space="preserve">주방의 압박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위기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다툼 장면에서 </t>
    </r>
    <r>
      <rPr>
        <sz val="10"/>
        <rFont val="Arial"/>
        <family val="0"/>
        <charset val="1"/>
      </rPr>
      <t xml:space="preserve">merde, putain, bordel, chiant, con </t>
    </r>
    <r>
      <rPr>
        <sz val="10"/>
        <rFont val="WenQuanYi Zen Hei"/>
        <family val="2"/>
      </rPr>
      <t xml:space="preserve">정도까지 허용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실제 프랑스 주방의 말투를 반영하되 모욕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차별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성적 표현은 제외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손님과 외부인 앞에서는 쓰지 않음</t>
    </r>
  </si>
  <si>
    <t xml:space="preserve">감정 폭발</t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</si>
  <si>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위기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와 </t>
    </r>
    <r>
      <rPr>
        <sz val="10"/>
        <rFont val="Arial"/>
        <family val="0"/>
        <charset val="1"/>
      </rPr>
      <t xml:space="preserve">42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부녀 다툼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에서 욕설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소리침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말 끊기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중얼거림 등 날것의 구어 리듬을 살림</t>
    </r>
    <r>
      <rPr>
        <sz val="10"/>
        <rFont val="Arial"/>
        <family val="0"/>
        <charset val="1"/>
      </rPr>
      <t xml:space="preserve">. 4~5</t>
    </r>
    <r>
      <rPr>
        <sz val="10"/>
        <rFont val="WenQuanYi Zen Hei"/>
        <family val="2"/>
      </rPr>
      <t xml:space="preserve">부에서는 안도의 </t>
    </r>
    <r>
      <rPr>
        <sz val="10"/>
        <rFont val="Arial"/>
        <family val="0"/>
        <charset val="1"/>
      </rPr>
      <t xml:space="preserve">putain, enfin ! </t>
    </r>
    <r>
      <rPr>
        <sz val="10"/>
        <rFont val="WenQuanYi Zen Hei"/>
        <family val="2"/>
      </rPr>
      <t xml:space="preserve">같은 감탄으로 대비</t>
    </r>
  </si>
  <si>
    <t xml:space="preserve">학습 안전장치</t>
  </si>
  <si>
    <r>
      <rPr>
        <sz val="10"/>
        <rFont val="WenQuanYi Zen Hei"/>
        <family val="2"/>
      </rPr>
      <t xml:space="preserve">거친 표현은 </t>
    </r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속어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태그로 구분하고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분석에서 쓸 수 있는 상황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쓰면 안 되는 상황을 한 줄로 명시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가까운 동료 사이는 가능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손님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상사 앞은 금지</t>
    </r>
    <r>
      <rPr>
        <sz val="10"/>
        <rFont val="Arial"/>
        <family val="0"/>
        <charset val="1"/>
      </rPr>
      <t xml:space="preserve">)</t>
    </r>
  </si>
  <si>
    <t xml:space="preserve">격식이 필요한 장면</t>
  </si>
  <si>
    <r>
      <rPr>
        <sz val="10"/>
        <rFont val="WenQuanYi Zen Hei"/>
        <family val="2"/>
      </rPr>
      <t xml:space="preserve">은행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법원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검사관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호텔 지배인 장면은 정중한 </t>
    </r>
    <r>
      <rPr>
        <sz val="10"/>
        <rFont val="Arial"/>
        <family val="0"/>
        <charset val="1"/>
      </rPr>
      <t xml:space="preserve">vous</t>
    </r>
    <r>
      <rPr>
        <sz val="10"/>
        <rFont val="WenQuanYi Zen Hei"/>
        <family val="2"/>
      </rPr>
      <t xml:space="preserve">로 하되 문어가 아닌 정중한 구어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공문과 청원서는 짧게 낭독하고 곧바로 구어로 반응</t>
    </r>
  </si>
  <si>
    <r>
      <rPr>
        <sz val="10"/>
        <rFont val="WenQuanYi Zen Hei"/>
        <family val="2"/>
      </rPr>
      <t xml:space="preserve">연설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독백</t>
    </r>
  </si>
  <si>
    <r>
      <rPr>
        <sz val="10"/>
        <rFont val="WenQuanYi Zen Hei"/>
        <family val="2"/>
      </rPr>
      <t xml:space="preserve">은퇴 연설 등은 문장을 짧게 끊고 구어 리듬을 유지 </t>
    </r>
    <r>
      <rPr>
        <sz val="10"/>
        <rFont val="Arial"/>
        <family val="0"/>
        <charset val="1"/>
      </rPr>
      <t xml:space="preserve">(Alors voilà… </t>
    </r>
    <r>
      <rPr>
        <sz val="10"/>
        <rFont val="WenQuanYi Zen Hei"/>
        <family val="2"/>
      </rPr>
      <t xml:space="preserve">식</t>
    </r>
    <r>
      <rPr>
        <sz val="10"/>
        <rFont val="Arial"/>
        <family val="0"/>
        <charset val="1"/>
      </rPr>
      <t xml:space="preserve">)</t>
    </r>
  </si>
  <si>
    <t xml:space="preserve">분석 표기</t>
  </si>
  <si>
    <r>
      <rPr>
        <sz val="10"/>
        <rFont val="WenQuanYi Zen Hei"/>
        <family val="2"/>
      </rPr>
      <t xml:space="preserve">구어 표현에는 </t>
    </r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구어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태그를 붙이고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같은 뜻의 정중한 표현을 옆에 비교 제시</t>
    </r>
  </si>
  <si>
    <t xml:space="preserve">문장 길이</t>
  </si>
  <si>
    <r>
      <rPr>
        <sz val="10"/>
        <rFont val="WenQuanYi Zen Hei"/>
        <family val="2"/>
      </rPr>
      <t xml:space="preserve">한 호흡 </t>
    </r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단어 이내를 기본으로 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긴 설명도 두세 덩어리로 나눈다</t>
    </r>
  </si>
  <si>
    <t xml:space="preserve">핵심 어휘 영역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</si>
  <si>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</t>
    </r>
  </si>
  <si>
    <r>
      <rPr>
        <sz val="10"/>
        <rFont val="WenQuanYi Zen Hei"/>
        <family val="2"/>
      </rPr>
      <t xml:space="preserve">메뉴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요리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주문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계산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예약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식재료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서비스 표현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불만 응대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가족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일상</t>
    </r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</si>
  <si>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부</t>
    </r>
  </si>
  <si>
    <r>
      <rPr>
        <sz val="10"/>
        <rFont val="WenQuanYi Zen Hei"/>
        <family val="2"/>
      </rPr>
      <t xml:space="preserve">가격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비용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장비 고장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평판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리뷰</t>
    </r>
    <r>
      <rPr>
        <sz val="10"/>
        <rFont val="Arial"/>
        <family val="0"/>
        <charset val="1"/>
      </rPr>
      <t xml:space="preserve">·SNS, </t>
    </r>
    <r>
      <rPr>
        <sz val="10"/>
        <rFont val="WenQuanYi Zen Hei"/>
        <family val="2"/>
      </rPr>
      <t xml:space="preserve">인력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노동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매출 분석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경쟁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협상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</si>
  <si>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부</t>
    </r>
  </si>
  <si>
    <r>
      <rPr>
        <sz val="10"/>
        <rFont val="WenQuanYi Zen Hei"/>
        <family val="2"/>
      </rPr>
      <t xml:space="preserve">금융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대출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위생 규정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행정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법률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계약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인수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감정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내면 서술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청원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호소</t>
    </r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</si>
  <si>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부</t>
    </r>
  </si>
  <si>
    <r>
      <rPr>
        <sz val="10"/>
        <rFont val="WenQuanYi Zen Hei"/>
        <family val="2"/>
      </rPr>
      <t xml:space="preserve">회생 절차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채권자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크라우드펀딩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생산자 계약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건축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공사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제철 요리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미식 비평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가이드</t>
    </r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</si>
  <si>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부</t>
    </r>
  </si>
  <si>
    <r>
      <rPr>
        <sz val="10"/>
        <rFont val="WenQuanYi Zen Hei"/>
        <family val="2"/>
      </rPr>
      <t xml:space="preserve">채용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인력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호텔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케이터링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확장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투자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미디어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병원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의료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지분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동업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축사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인사말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</si>
</sst>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WenQuanYi Zen Hei"/>
      <family val="2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  <fill>
      <patternFill patternType="solid">
        <fgColor rgb="FFF8CBAD"/>
        <bgColor rgb="FFE4DFEC"/>
      </patternFill>
    </fill>
    <fill>
      <patternFill patternType="solid">
        <fgColor rgb="FFDDEBF7"/>
        <bgColor rgb="FFE2EFDA"/>
      </patternFill>
    </fill>
    <fill>
      <patternFill patternType="solid">
        <fgColor rgb="FFE4DFEC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4" t="s">
        <v>6</v>
      </c>
      <c r="B6" s="4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4" t="s">
        <v>10</v>
      </c>
      <c r="B8" s="5" t="s">
        <v>11</v>
      </c>
    </row>
    <row r="9" customFormat="false" ht="15" hidden="false" customHeight="false" outlineLevel="0" collapsed="false">
      <c r="A9" s="4" t="s">
        <v>12</v>
      </c>
      <c r="B9" s="4" t="s">
        <v>13</v>
      </c>
    </row>
    <row r="10" customFormat="false" ht="15" hidden="false" customHeight="false" outlineLevel="0" collapsed="false">
      <c r="A10" s="4" t="s">
        <v>14</v>
      </c>
      <c r="B10" s="4" t="s">
        <v>15</v>
      </c>
    </row>
    <row r="11" customFormat="false" ht="15" hidden="false" customHeight="false" outlineLevel="0" collapsed="false">
      <c r="A11" s="4" t="s">
        <v>16</v>
      </c>
      <c r="B11" s="5" t="s">
        <v>17</v>
      </c>
    </row>
    <row r="12" customFormat="false" ht="15" hidden="false" customHeight="false" outlineLevel="0" collapsed="false">
      <c r="A12" s="4" t="s">
        <v>18</v>
      </c>
      <c r="B12" s="4" t="s">
        <v>19</v>
      </c>
    </row>
    <row r="13" customFormat="false" ht="15" hidden="false" customHeight="false" outlineLevel="0" collapsed="false">
      <c r="A13" s="4" t="s">
        <v>20</v>
      </c>
      <c r="B13" s="4" t="s">
        <v>21</v>
      </c>
    </row>
    <row r="15" customFormat="false" ht="15" hidden="false" customHeight="false" outlineLevel="0" collapsed="false">
      <c r="A15" s="6" t="s">
        <v>22</v>
      </c>
    </row>
    <row r="16" customFormat="false" ht="15" hidden="false" customHeight="false" outlineLevel="0" collapsed="false">
      <c r="A16" s="7" t="s">
        <v>23</v>
      </c>
      <c r="B16" s="8" t="n">
        <f aca="false">COUNTA('화별 개요'!B2:B76)</f>
        <v>75</v>
      </c>
    </row>
    <row r="17" customFormat="false" ht="15" hidden="false" customHeight="false" outlineLevel="0" collapsed="false">
      <c r="A17" s="7" t="s">
        <v>24</v>
      </c>
      <c r="B17" s="9" t="n">
        <v>120</v>
      </c>
    </row>
    <row r="18" customFormat="false" ht="15" hidden="false" customHeight="false" outlineLevel="0" collapsed="false">
      <c r="A18" s="7" t="s">
        <v>25</v>
      </c>
      <c r="B18" s="8" t="n">
        <f aca="false">B16*B17</f>
        <v>9000</v>
      </c>
    </row>
    <row r="19" customFormat="false" ht="15" hidden="false" customHeight="false" outlineLevel="0" collapsed="false">
      <c r="A19" s="7" t="s">
        <v>26</v>
      </c>
      <c r="B19" s="8" t="n">
        <v>5</v>
      </c>
    </row>
    <row r="20" customFormat="false" ht="15" hidden="false" customHeight="false" outlineLevel="0" collapsed="false">
      <c r="A20" s="7" t="s">
        <v>27</v>
      </c>
      <c r="B20" s="8" t="n">
        <v>15</v>
      </c>
    </row>
    <row r="21" customFormat="false" ht="15" hidden="false" customHeight="false" outlineLevel="0" collapsed="false">
      <c r="A21" s="10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3" t="s">
        <v>29</v>
      </c>
      <c r="B1" s="3" t="s">
        <v>30</v>
      </c>
      <c r="C1" s="3" t="s">
        <v>31</v>
      </c>
      <c r="D1" s="3" t="s">
        <v>32</v>
      </c>
      <c r="E1" s="3" t="s">
        <v>25</v>
      </c>
    </row>
    <row r="2" customFormat="false" ht="15" hidden="false" customHeight="false" outlineLevel="0" collapsed="false">
      <c r="A2" s="11" t="s">
        <v>33</v>
      </c>
      <c r="B2" s="7" t="n">
        <f aca="false">COUNTIF('화별 개요'!C2:C76,A2)</f>
        <v>15</v>
      </c>
      <c r="C2" s="7" t="n">
        <f aca="false">COUNTIFS('화별 개요'!C2:C76,A2,'화별 개요'!H2:H76,"초고완료")+COUNTIFS('화별 개요'!C2:C76,A2,'화별 개요'!H2:H76,"검수완료")</f>
        <v>0</v>
      </c>
      <c r="D2" s="12" t="n">
        <f aca="false">IF(B2=0,0,C2/B2)</f>
        <v>0</v>
      </c>
      <c r="E2" s="7" t="n">
        <f aca="false">SUMIFS('화별 개요'!G2:G76,'화별 개요'!C2:C76,A2)</f>
        <v>1800</v>
      </c>
    </row>
    <row r="3" customFormat="false" ht="15" hidden="false" customHeight="false" outlineLevel="0" collapsed="false">
      <c r="A3" s="13" t="s">
        <v>34</v>
      </c>
      <c r="B3" s="7" t="n">
        <f aca="false">COUNTIF('화별 개요'!C2:C76,A3)</f>
        <v>15</v>
      </c>
      <c r="C3" s="7" t="n">
        <f aca="false">COUNTIFS('화별 개요'!C2:C76,A3,'화별 개요'!H2:H76,"초고완료")+COUNTIFS('화별 개요'!C2:C76,A3,'화별 개요'!H2:H76,"검수완료")</f>
        <v>0</v>
      </c>
      <c r="D3" s="12" t="n">
        <f aca="false">IF(B3=0,0,C3/B3)</f>
        <v>0</v>
      </c>
      <c r="E3" s="7" t="n">
        <f aca="false">SUMIFS('화별 개요'!G2:G76,'화별 개요'!C2:C76,A3)</f>
        <v>1800</v>
      </c>
    </row>
    <row r="4" customFormat="false" ht="15" hidden="false" customHeight="false" outlineLevel="0" collapsed="false">
      <c r="A4" s="14" t="s">
        <v>35</v>
      </c>
      <c r="B4" s="7" t="n">
        <f aca="false">COUNTIF('화별 개요'!C2:C76,A4)</f>
        <v>15</v>
      </c>
      <c r="C4" s="7" t="n">
        <f aca="false">COUNTIFS('화별 개요'!C2:C76,A4,'화별 개요'!H2:H76,"초고완료")+COUNTIFS('화별 개요'!C2:C76,A4,'화별 개요'!H2:H76,"검수완료")</f>
        <v>0</v>
      </c>
      <c r="D4" s="12" t="n">
        <f aca="false">IF(B4=0,0,C4/B4)</f>
        <v>0</v>
      </c>
      <c r="E4" s="7" t="n">
        <f aca="false">SUMIFS('화별 개요'!G2:G76,'화별 개요'!C2:C76,A4)</f>
        <v>1800</v>
      </c>
    </row>
    <row r="5" customFormat="false" ht="15" hidden="false" customHeight="false" outlineLevel="0" collapsed="false">
      <c r="A5" s="15" t="s">
        <v>36</v>
      </c>
      <c r="B5" s="7" t="n">
        <f aca="false">COUNTIF('화별 개요'!C2:C76,A5)</f>
        <v>15</v>
      </c>
      <c r="C5" s="7" t="n">
        <f aca="false">COUNTIFS('화별 개요'!C2:C76,A5,'화별 개요'!H2:H76,"초고완료")+COUNTIFS('화별 개요'!C2:C76,A5,'화별 개요'!H2:H76,"검수완료")</f>
        <v>0</v>
      </c>
      <c r="D5" s="12" t="n">
        <f aca="false">IF(B5=0,0,C5/B5)</f>
        <v>0</v>
      </c>
      <c r="E5" s="7" t="n">
        <f aca="false">SUMIFS('화별 개요'!G2:G76,'화별 개요'!C2:C76,A5)</f>
        <v>1800</v>
      </c>
    </row>
    <row r="6" customFormat="false" ht="15" hidden="false" customHeight="false" outlineLevel="0" collapsed="false">
      <c r="A6" s="16" t="s">
        <v>37</v>
      </c>
      <c r="B6" s="7" t="n">
        <f aca="false">COUNTIF('화별 개요'!C2:C76,A6)</f>
        <v>15</v>
      </c>
      <c r="C6" s="7" t="n">
        <f aca="false">COUNTIFS('화별 개요'!C2:C76,A6,'화별 개요'!H2:H76,"초고완료")+COUNTIFS('화별 개요'!C2:C76,A6,'화별 개요'!H2:H76,"검수완료")</f>
        <v>0</v>
      </c>
      <c r="D6" s="12" t="n">
        <f aca="false">IF(B6=0,0,C6/B6)</f>
        <v>0</v>
      </c>
      <c r="E6" s="7" t="n">
        <f aca="false">SUMIFS('화별 개요'!G2:G76,'화별 개요'!C2:C76,A6)</f>
        <v>1800</v>
      </c>
    </row>
    <row r="7" customFormat="false" ht="15" hidden="false" customHeight="false" outlineLevel="0" collapsed="false">
      <c r="A7" s="17" t="s">
        <v>38</v>
      </c>
      <c r="B7" s="17" t="n">
        <f aca="false">SUM(B2:B6)</f>
        <v>75</v>
      </c>
      <c r="C7" s="17" t="n">
        <f aca="false">SUM(C2:C6)</f>
        <v>0</v>
      </c>
      <c r="D7" s="18" t="n">
        <f aca="false">IF(B7=0,0,C7/B7)</f>
        <v>0</v>
      </c>
      <c r="E7" s="17" t="n">
        <f aca="false">SUM(E2:E6)</f>
        <v>9000</v>
      </c>
    </row>
    <row r="9" customFormat="false" ht="15" hidden="false" customHeight="false" outlineLevel="0" collapsed="false">
      <c r="A9" s="19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100"/>
  </cols>
  <sheetData>
    <row r="1" customFormat="false" ht="15" hidden="false" customHeight="false" outlineLevel="0" collapsed="false">
      <c r="A1" s="3" t="s">
        <v>40</v>
      </c>
      <c r="B1" s="3" t="s">
        <v>41</v>
      </c>
      <c r="C1" s="3" t="s">
        <v>42</v>
      </c>
    </row>
    <row r="2" customFormat="false" ht="15" hidden="false" customHeight="false" outlineLevel="0" collapsed="false">
      <c r="A2" s="5" t="s">
        <v>43</v>
      </c>
      <c r="B2" s="5" t="s">
        <v>44</v>
      </c>
      <c r="C2" s="4" t="s">
        <v>45</v>
      </c>
    </row>
    <row r="3" customFormat="false" ht="26.85" hidden="false" customHeight="false" outlineLevel="0" collapsed="false">
      <c r="A3" s="5" t="s">
        <v>46</v>
      </c>
      <c r="B3" s="5" t="s">
        <v>47</v>
      </c>
      <c r="C3" s="4" t="s">
        <v>48</v>
      </c>
    </row>
    <row r="4" customFormat="false" ht="15" hidden="false" customHeight="false" outlineLevel="0" collapsed="false">
      <c r="A4" s="5" t="s">
        <v>49</v>
      </c>
      <c r="B4" s="5" t="s">
        <v>50</v>
      </c>
      <c r="C4" s="4" t="s">
        <v>51</v>
      </c>
    </row>
    <row r="5" customFormat="false" ht="15" hidden="false" customHeight="false" outlineLevel="0" collapsed="false">
      <c r="A5" s="5" t="s">
        <v>52</v>
      </c>
      <c r="B5" s="5" t="s">
        <v>53</v>
      </c>
      <c r="C5" s="5" t="s">
        <v>54</v>
      </c>
    </row>
    <row r="6" customFormat="false" ht="15" hidden="false" customHeight="false" outlineLevel="0" collapsed="false">
      <c r="A6" s="5" t="s">
        <v>55</v>
      </c>
      <c r="B6" s="5" t="s">
        <v>56</v>
      </c>
      <c r="C6" s="4" t="s">
        <v>57</v>
      </c>
    </row>
    <row r="7" customFormat="false" ht="15" hidden="false" customHeight="false" outlineLevel="0" collapsed="false">
      <c r="A7" s="5" t="s">
        <v>58</v>
      </c>
      <c r="B7" s="4" t="s">
        <v>59</v>
      </c>
      <c r="C7" s="5" t="s">
        <v>60</v>
      </c>
    </row>
    <row r="8" customFormat="false" ht="15" hidden="false" customHeight="false" outlineLevel="0" collapsed="false">
      <c r="A8" s="5" t="s">
        <v>61</v>
      </c>
      <c r="B8" s="4" t="s">
        <v>59</v>
      </c>
      <c r="C8" s="4" t="s">
        <v>62</v>
      </c>
    </row>
    <row r="9" customFormat="false" ht="15" hidden="false" customHeight="false" outlineLevel="0" collapsed="false">
      <c r="A9" s="5" t="s">
        <v>63</v>
      </c>
      <c r="B9" s="4" t="s">
        <v>59</v>
      </c>
      <c r="C9" s="4" t="s">
        <v>64</v>
      </c>
    </row>
    <row r="10" customFormat="false" ht="15" hidden="false" customHeight="false" outlineLevel="0" collapsed="false">
      <c r="A10" s="5" t="s">
        <v>65</v>
      </c>
      <c r="B10" s="4" t="s">
        <v>59</v>
      </c>
      <c r="C10" s="4" t="s">
        <v>66</v>
      </c>
    </row>
    <row r="11" customFormat="false" ht="15" hidden="false" customHeight="false" outlineLevel="0" collapsed="false">
      <c r="A11" s="5" t="s">
        <v>67</v>
      </c>
      <c r="B11" s="4" t="s">
        <v>59</v>
      </c>
      <c r="C11" s="4" t="s">
        <v>68</v>
      </c>
    </row>
    <row r="12" customFormat="false" ht="15" hidden="false" customHeight="false" outlineLevel="0" collapsed="false">
      <c r="A12" s="5" t="s">
        <v>69</v>
      </c>
      <c r="B12" s="4" t="s">
        <v>59</v>
      </c>
      <c r="C12" s="4" t="s">
        <v>70</v>
      </c>
    </row>
    <row r="13" customFormat="false" ht="15" hidden="false" customHeight="false" outlineLevel="0" collapsed="false">
      <c r="A13" s="5" t="s">
        <v>71</v>
      </c>
      <c r="B13" s="4" t="s">
        <v>59</v>
      </c>
      <c r="C13" s="4" t="s">
        <v>72</v>
      </c>
    </row>
    <row r="14" customFormat="false" ht="15" hidden="false" customHeight="false" outlineLevel="0" collapsed="false">
      <c r="A14" s="5" t="s">
        <v>73</v>
      </c>
      <c r="B14" s="4" t="s">
        <v>59</v>
      </c>
      <c r="C14" s="4" t="s">
        <v>74</v>
      </c>
    </row>
    <row r="15" customFormat="false" ht="15" hidden="false" customHeight="false" outlineLevel="0" collapsed="false">
      <c r="A15" s="5" t="s">
        <v>75</v>
      </c>
      <c r="B15" s="4" t="s">
        <v>59</v>
      </c>
      <c r="C15" s="4" t="s">
        <v>76</v>
      </c>
    </row>
    <row r="16" customFormat="false" ht="15" hidden="false" customHeight="false" outlineLevel="0" collapsed="false">
      <c r="A16" s="5" t="s">
        <v>77</v>
      </c>
      <c r="B16" s="4" t="s">
        <v>59</v>
      </c>
      <c r="C16" s="4" t="s">
        <v>78</v>
      </c>
    </row>
    <row r="17" customFormat="false" ht="26.85" hidden="false" customHeight="false" outlineLevel="0" collapsed="false">
      <c r="A17" s="4" t="s">
        <v>79</v>
      </c>
      <c r="B17" s="4" t="s">
        <v>80</v>
      </c>
      <c r="C17" s="4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9" min="5" style="0" width="10"/>
  </cols>
  <sheetData>
    <row r="1" customFormat="false" ht="15" hidden="false" customHeight="false" outlineLevel="0" collapsed="false">
      <c r="A1" s="3" t="s">
        <v>29</v>
      </c>
      <c r="B1" s="3" t="s">
        <v>82</v>
      </c>
      <c r="C1" s="3" t="s">
        <v>83</v>
      </c>
      <c r="D1" s="3" t="s">
        <v>84</v>
      </c>
      <c r="E1" s="20" t="s">
        <v>85</v>
      </c>
      <c r="F1" s="20" t="s">
        <v>86</v>
      </c>
      <c r="G1" s="20" t="s">
        <v>87</v>
      </c>
      <c r="H1" s="20" t="s">
        <v>88</v>
      </c>
      <c r="I1" s="21" t="s">
        <v>38</v>
      </c>
    </row>
    <row r="2" customFormat="false" ht="15" hidden="false" customHeight="false" outlineLevel="0" collapsed="false">
      <c r="A2" s="5" t="s">
        <v>89</v>
      </c>
      <c r="B2" s="4" t="s">
        <v>90</v>
      </c>
      <c r="C2" s="4" t="s">
        <v>91</v>
      </c>
      <c r="D2" s="5" t="s">
        <v>92</v>
      </c>
      <c r="E2" s="22" t="n">
        <v>0.45</v>
      </c>
      <c r="F2" s="22" t="n">
        <v>0.35</v>
      </c>
      <c r="G2" s="22" t="n">
        <v>0.15</v>
      </c>
      <c r="H2" s="22" t="n">
        <v>0.05</v>
      </c>
      <c r="I2" s="12" t="n">
        <f aca="false">SUM(E2:H2)</f>
        <v>1</v>
      </c>
    </row>
    <row r="3" customFormat="false" ht="15" hidden="false" customHeight="false" outlineLevel="0" collapsed="false">
      <c r="A3" s="5" t="s">
        <v>93</v>
      </c>
      <c r="B3" s="4" t="s">
        <v>94</v>
      </c>
      <c r="C3" s="4" t="s">
        <v>95</v>
      </c>
      <c r="D3" s="5" t="s">
        <v>96</v>
      </c>
      <c r="E3" s="22" t="n">
        <v>0.2</v>
      </c>
      <c r="F3" s="22" t="n">
        <v>0.4</v>
      </c>
      <c r="G3" s="22" t="n">
        <v>0.3</v>
      </c>
      <c r="H3" s="22" t="n">
        <v>0.1</v>
      </c>
      <c r="I3" s="12" t="n">
        <f aca="false">SUM(E3:H3)</f>
        <v>1</v>
      </c>
    </row>
    <row r="4" customFormat="false" ht="15" hidden="false" customHeight="false" outlineLevel="0" collapsed="false">
      <c r="A4" s="5" t="s">
        <v>97</v>
      </c>
      <c r="B4" s="4" t="s">
        <v>98</v>
      </c>
      <c r="C4" s="4" t="s">
        <v>99</v>
      </c>
      <c r="D4" s="5" t="s">
        <v>100</v>
      </c>
      <c r="E4" s="22" t="n">
        <v>0.1</v>
      </c>
      <c r="F4" s="22" t="n">
        <v>0.25</v>
      </c>
      <c r="G4" s="22" t="n">
        <v>0.4</v>
      </c>
      <c r="H4" s="22" t="n">
        <v>0.25</v>
      </c>
      <c r="I4" s="12" t="n">
        <f aca="false">SUM(E4:H4)</f>
        <v>1</v>
      </c>
    </row>
    <row r="5" customFormat="false" ht="15" hidden="false" customHeight="false" outlineLevel="0" collapsed="false">
      <c r="A5" s="5" t="s">
        <v>101</v>
      </c>
      <c r="B5" s="4" t="s">
        <v>102</v>
      </c>
      <c r="C5" s="4" t="s">
        <v>103</v>
      </c>
      <c r="D5" s="5" t="s">
        <v>100</v>
      </c>
      <c r="E5" s="22" t="n">
        <v>0.05</v>
      </c>
      <c r="F5" s="22" t="n">
        <v>0.2</v>
      </c>
      <c r="G5" s="22" t="n">
        <v>0.4</v>
      </c>
      <c r="H5" s="22" t="n">
        <v>0.35</v>
      </c>
      <c r="I5" s="12" t="n">
        <f aca="false">SUM(E5:H5)</f>
        <v>1</v>
      </c>
    </row>
    <row r="6" customFormat="false" ht="15" hidden="false" customHeight="false" outlineLevel="0" collapsed="false">
      <c r="A6" s="5" t="s">
        <v>104</v>
      </c>
      <c r="B6" s="4" t="s">
        <v>105</v>
      </c>
      <c r="C6" s="4" t="s">
        <v>106</v>
      </c>
      <c r="D6" s="5" t="s">
        <v>100</v>
      </c>
      <c r="E6" s="22" t="n">
        <v>0.05</v>
      </c>
      <c r="F6" s="22" t="n">
        <v>0.15</v>
      </c>
      <c r="G6" s="22" t="n">
        <v>0.4</v>
      </c>
      <c r="H6" s="22" t="n">
        <v>0.4</v>
      </c>
      <c r="I6" s="12" t="n">
        <f aca="false">SUM(E6:H6)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60"/>
    <col collapsed="false" customWidth="true" hidden="false" outlineLevel="0" max="6" min="6" style="0" width="48"/>
    <col collapsed="false" customWidth="true" hidden="false" outlineLevel="0" max="7" min="7" style="0" width="8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3" t="s">
        <v>107</v>
      </c>
      <c r="B1" s="3" t="s">
        <v>108</v>
      </c>
      <c r="C1" s="3" t="s">
        <v>29</v>
      </c>
      <c r="D1" s="3" t="s">
        <v>16</v>
      </c>
      <c r="E1" s="3" t="s">
        <v>109</v>
      </c>
      <c r="F1" s="3" t="s">
        <v>110</v>
      </c>
      <c r="G1" s="3" t="s">
        <v>111</v>
      </c>
      <c r="H1" s="3" t="s">
        <v>112</v>
      </c>
    </row>
    <row r="2" customFormat="false" ht="15" hidden="false" customHeight="false" outlineLevel="0" collapsed="false">
      <c r="A2" s="23" t="n">
        <v>1</v>
      </c>
      <c r="B2" s="24" t="s">
        <v>113</v>
      </c>
      <c r="C2" s="24" t="s">
        <v>33</v>
      </c>
      <c r="D2" s="24" t="s">
        <v>92</v>
      </c>
      <c r="E2" s="25" t="s">
        <v>114</v>
      </c>
      <c r="F2" s="25" t="s">
        <v>115</v>
      </c>
      <c r="G2" s="26" t="n">
        <v>120</v>
      </c>
      <c r="H2" s="27" t="s">
        <v>116</v>
      </c>
    </row>
    <row r="3" customFormat="false" ht="15" hidden="false" customHeight="false" outlineLevel="0" collapsed="false">
      <c r="A3" s="23" t="n">
        <v>2</v>
      </c>
      <c r="B3" s="24" t="s">
        <v>117</v>
      </c>
      <c r="C3" s="24" t="s">
        <v>33</v>
      </c>
      <c r="D3" s="24" t="s">
        <v>92</v>
      </c>
      <c r="E3" s="25" t="s">
        <v>118</v>
      </c>
      <c r="F3" s="25" t="s">
        <v>119</v>
      </c>
      <c r="G3" s="26" t="n">
        <v>120</v>
      </c>
      <c r="H3" s="27" t="s">
        <v>116</v>
      </c>
    </row>
    <row r="4" customFormat="false" ht="15" hidden="false" customHeight="false" outlineLevel="0" collapsed="false">
      <c r="A4" s="23" t="n">
        <v>3</v>
      </c>
      <c r="B4" s="24" t="s">
        <v>120</v>
      </c>
      <c r="C4" s="24" t="s">
        <v>33</v>
      </c>
      <c r="D4" s="24" t="s">
        <v>92</v>
      </c>
      <c r="E4" s="25" t="s">
        <v>121</v>
      </c>
      <c r="F4" s="25" t="s">
        <v>122</v>
      </c>
      <c r="G4" s="26" t="n">
        <v>120</v>
      </c>
      <c r="H4" s="27" t="s">
        <v>116</v>
      </c>
    </row>
    <row r="5" customFormat="false" ht="15" hidden="false" customHeight="false" outlineLevel="0" collapsed="false">
      <c r="A5" s="23" t="n">
        <v>4</v>
      </c>
      <c r="B5" s="24" t="s">
        <v>123</v>
      </c>
      <c r="C5" s="24" t="s">
        <v>33</v>
      </c>
      <c r="D5" s="24" t="s">
        <v>92</v>
      </c>
      <c r="E5" s="25" t="s">
        <v>124</v>
      </c>
      <c r="F5" s="25" t="s">
        <v>125</v>
      </c>
      <c r="G5" s="26" t="n">
        <v>120</v>
      </c>
      <c r="H5" s="27" t="s">
        <v>116</v>
      </c>
    </row>
    <row r="6" customFormat="false" ht="15" hidden="false" customHeight="false" outlineLevel="0" collapsed="false">
      <c r="A6" s="23" t="n">
        <v>5</v>
      </c>
      <c r="B6" s="24" t="s">
        <v>126</v>
      </c>
      <c r="C6" s="24" t="s">
        <v>33</v>
      </c>
      <c r="D6" s="24" t="s">
        <v>92</v>
      </c>
      <c r="E6" s="25" t="s">
        <v>127</v>
      </c>
      <c r="F6" s="25" t="s">
        <v>128</v>
      </c>
      <c r="G6" s="26" t="n">
        <v>120</v>
      </c>
      <c r="H6" s="27" t="s">
        <v>116</v>
      </c>
    </row>
    <row r="7" customFormat="false" ht="15" hidden="false" customHeight="false" outlineLevel="0" collapsed="false">
      <c r="A7" s="23" t="n">
        <v>6</v>
      </c>
      <c r="B7" s="24" t="s">
        <v>129</v>
      </c>
      <c r="C7" s="24" t="s">
        <v>33</v>
      </c>
      <c r="D7" s="24" t="s">
        <v>92</v>
      </c>
      <c r="E7" s="25" t="s">
        <v>130</v>
      </c>
      <c r="F7" s="24" t="s">
        <v>131</v>
      </c>
      <c r="G7" s="26" t="n">
        <v>120</v>
      </c>
      <c r="H7" s="27" t="s">
        <v>116</v>
      </c>
    </row>
    <row r="8" customFormat="false" ht="15" hidden="false" customHeight="false" outlineLevel="0" collapsed="false">
      <c r="A8" s="23" t="n">
        <v>7</v>
      </c>
      <c r="B8" s="24" t="s">
        <v>132</v>
      </c>
      <c r="C8" s="24" t="s">
        <v>33</v>
      </c>
      <c r="D8" s="24" t="s">
        <v>92</v>
      </c>
      <c r="E8" s="25" t="s">
        <v>133</v>
      </c>
      <c r="F8" s="25" t="s">
        <v>134</v>
      </c>
      <c r="G8" s="26" t="n">
        <v>120</v>
      </c>
      <c r="H8" s="27" t="s">
        <v>116</v>
      </c>
    </row>
    <row r="9" customFormat="false" ht="15" hidden="false" customHeight="false" outlineLevel="0" collapsed="false">
      <c r="A9" s="23" t="n">
        <v>8</v>
      </c>
      <c r="B9" s="24" t="s">
        <v>135</v>
      </c>
      <c r="C9" s="24" t="s">
        <v>33</v>
      </c>
      <c r="D9" s="24" t="s">
        <v>92</v>
      </c>
      <c r="E9" s="25" t="s">
        <v>136</v>
      </c>
      <c r="F9" s="25" t="s">
        <v>137</v>
      </c>
      <c r="G9" s="26" t="n">
        <v>120</v>
      </c>
      <c r="H9" s="27" t="s">
        <v>116</v>
      </c>
    </row>
    <row r="10" customFormat="false" ht="15" hidden="false" customHeight="false" outlineLevel="0" collapsed="false">
      <c r="A10" s="23" t="n">
        <v>9</v>
      </c>
      <c r="B10" s="24" t="s">
        <v>138</v>
      </c>
      <c r="C10" s="24" t="s">
        <v>33</v>
      </c>
      <c r="D10" s="24" t="s">
        <v>92</v>
      </c>
      <c r="E10" s="25" t="s">
        <v>139</v>
      </c>
      <c r="F10" s="25" t="s">
        <v>140</v>
      </c>
      <c r="G10" s="26" t="n">
        <v>120</v>
      </c>
      <c r="H10" s="27" t="s">
        <v>116</v>
      </c>
    </row>
    <row r="11" customFormat="false" ht="15" hidden="false" customHeight="false" outlineLevel="0" collapsed="false">
      <c r="A11" s="23" t="n">
        <v>10</v>
      </c>
      <c r="B11" s="24" t="s">
        <v>141</v>
      </c>
      <c r="C11" s="24" t="s">
        <v>33</v>
      </c>
      <c r="D11" s="24" t="s">
        <v>92</v>
      </c>
      <c r="E11" s="25" t="s">
        <v>142</v>
      </c>
      <c r="F11" s="24" t="s">
        <v>143</v>
      </c>
      <c r="G11" s="26" t="n">
        <v>120</v>
      </c>
      <c r="H11" s="27" t="s">
        <v>116</v>
      </c>
    </row>
    <row r="12" customFormat="false" ht="15" hidden="false" customHeight="false" outlineLevel="0" collapsed="false">
      <c r="A12" s="23" t="n">
        <v>11</v>
      </c>
      <c r="B12" s="24" t="s">
        <v>144</v>
      </c>
      <c r="C12" s="24" t="s">
        <v>33</v>
      </c>
      <c r="D12" s="24" t="s">
        <v>92</v>
      </c>
      <c r="E12" s="25" t="s">
        <v>145</v>
      </c>
      <c r="F12" s="25" t="s">
        <v>146</v>
      </c>
      <c r="G12" s="26" t="n">
        <v>120</v>
      </c>
      <c r="H12" s="27" t="s">
        <v>116</v>
      </c>
    </row>
    <row r="13" customFormat="false" ht="15" hidden="false" customHeight="false" outlineLevel="0" collapsed="false">
      <c r="A13" s="23" t="n">
        <v>12</v>
      </c>
      <c r="B13" s="24" t="s">
        <v>147</v>
      </c>
      <c r="C13" s="24" t="s">
        <v>33</v>
      </c>
      <c r="D13" s="24" t="s">
        <v>92</v>
      </c>
      <c r="E13" s="25" t="s">
        <v>148</v>
      </c>
      <c r="F13" s="24" t="s">
        <v>149</v>
      </c>
      <c r="G13" s="26" t="n">
        <v>120</v>
      </c>
      <c r="H13" s="27" t="s">
        <v>116</v>
      </c>
    </row>
    <row r="14" customFormat="false" ht="15" hidden="false" customHeight="false" outlineLevel="0" collapsed="false">
      <c r="A14" s="23" t="n">
        <v>13</v>
      </c>
      <c r="B14" s="24" t="s">
        <v>150</v>
      </c>
      <c r="C14" s="24" t="s">
        <v>33</v>
      </c>
      <c r="D14" s="24" t="s">
        <v>92</v>
      </c>
      <c r="E14" s="25" t="s">
        <v>151</v>
      </c>
      <c r="F14" s="25" t="s">
        <v>152</v>
      </c>
      <c r="G14" s="26" t="n">
        <v>120</v>
      </c>
      <c r="H14" s="27" t="s">
        <v>116</v>
      </c>
    </row>
    <row r="15" customFormat="false" ht="15" hidden="false" customHeight="false" outlineLevel="0" collapsed="false">
      <c r="A15" s="23" t="n">
        <v>14</v>
      </c>
      <c r="B15" s="24" t="s">
        <v>153</v>
      </c>
      <c r="C15" s="24" t="s">
        <v>33</v>
      </c>
      <c r="D15" s="24" t="s">
        <v>92</v>
      </c>
      <c r="E15" s="25" t="s">
        <v>154</v>
      </c>
      <c r="F15" s="24" t="s">
        <v>155</v>
      </c>
      <c r="G15" s="26" t="n">
        <v>120</v>
      </c>
      <c r="H15" s="27" t="s">
        <v>116</v>
      </c>
    </row>
    <row r="16" customFormat="false" ht="15" hidden="false" customHeight="false" outlineLevel="0" collapsed="false">
      <c r="A16" s="23" t="n">
        <v>15</v>
      </c>
      <c r="B16" s="24" t="s">
        <v>156</v>
      </c>
      <c r="C16" s="24" t="s">
        <v>33</v>
      </c>
      <c r="D16" s="24" t="s">
        <v>92</v>
      </c>
      <c r="E16" s="25" t="s">
        <v>157</v>
      </c>
      <c r="F16" s="25" t="s">
        <v>158</v>
      </c>
      <c r="G16" s="26" t="n">
        <v>120</v>
      </c>
      <c r="H16" s="27" t="s">
        <v>116</v>
      </c>
    </row>
    <row r="17" customFormat="false" ht="15" hidden="false" customHeight="false" outlineLevel="0" collapsed="false">
      <c r="A17" s="28" t="n">
        <v>16</v>
      </c>
      <c r="B17" s="29" t="s">
        <v>159</v>
      </c>
      <c r="C17" s="29" t="s">
        <v>34</v>
      </c>
      <c r="D17" s="29" t="s">
        <v>96</v>
      </c>
      <c r="E17" s="30" t="s">
        <v>160</v>
      </c>
      <c r="F17" s="30" t="s">
        <v>161</v>
      </c>
      <c r="G17" s="31" t="n">
        <v>120</v>
      </c>
      <c r="H17" s="32" t="s">
        <v>116</v>
      </c>
    </row>
    <row r="18" customFormat="false" ht="15" hidden="false" customHeight="false" outlineLevel="0" collapsed="false">
      <c r="A18" s="28" t="n">
        <v>17</v>
      </c>
      <c r="B18" s="29" t="s">
        <v>162</v>
      </c>
      <c r="C18" s="29" t="s">
        <v>34</v>
      </c>
      <c r="D18" s="29" t="s">
        <v>96</v>
      </c>
      <c r="E18" s="30" t="s">
        <v>163</v>
      </c>
      <c r="F18" s="30" t="s">
        <v>164</v>
      </c>
      <c r="G18" s="31" t="n">
        <v>120</v>
      </c>
      <c r="H18" s="32" t="s">
        <v>116</v>
      </c>
    </row>
    <row r="19" customFormat="false" ht="15" hidden="false" customHeight="false" outlineLevel="0" collapsed="false">
      <c r="A19" s="28" t="n">
        <v>18</v>
      </c>
      <c r="B19" s="29" t="s">
        <v>165</v>
      </c>
      <c r="C19" s="29" t="s">
        <v>34</v>
      </c>
      <c r="D19" s="29" t="s">
        <v>96</v>
      </c>
      <c r="E19" s="30" t="s">
        <v>166</v>
      </c>
      <c r="F19" s="30" t="s">
        <v>167</v>
      </c>
      <c r="G19" s="31" t="n">
        <v>120</v>
      </c>
      <c r="H19" s="32" t="s">
        <v>116</v>
      </c>
    </row>
    <row r="20" customFormat="false" ht="15" hidden="false" customHeight="false" outlineLevel="0" collapsed="false">
      <c r="A20" s="28" t="n">
        <v>19</v>
      </c>
      <c r="B20" s="29" t="s">
        <v>168</v>
      </c>
      <c r="C20" s="29" t="s">
        <v>34</v>
      </c>
      <c r="D20" s="29" t="s">
        <v>96</v>
      </c>
      <c r="E20" s="30" t="s">
        <v>169</v>
      </c>
      <c r="F20" s="30" t="s">
        <v>170</v>
      </c>
      <c r="G20" s="31" t="n">
        <v>120</v>
      </c>
      <c r="H20" s="32" t="s">
        <v>116</v>
      </c>
    </row>
    <row r="21" customFormat="false" ht="15" hidden="false" customHeight="false" outlineLevel="0" collapsed="false">
      <c r="A21" s="28" t="n">
        <v>20</v>
      </c>
      <c r="B21" s="29" t="s">
        <v>171</v>
      </c>
      <c r="C21" s="29" t="s">
        <v>34</v>
      </c>
      <c r="D21" s="29" t="s">
        <v>96</v>
      </c>
      <c r="E21" s="30" t="s">
        <v>172</v>
      </c>
      <c r="F21" s="30" t="s">
        <v>173</v>
      </c>
      <c r="G21" s="31" t="n">
        <v>120</v>
      </c>
      <c r="H21" s="32" t="s">
        <v>116</v>
      </c>
    </row>
    <row r="22" customFormat="false" ht="15" hidden="false" customHeight="false" outlineLevel="0" collapsed="false">
      <c r="A22" s="28" t="n">
        <v>21</v>
      </c>
      <c r="B22" s="29" t="s">
        <v>174</v>
      </c>
      <c r="C22" s="29" t="s">
        <v>34</v>
      </c>
      <c r="D22" s="29" t="s">
        <v>96</v>
      </c>
      <c r="E22" s="30" t="s">
        <v>175</v>
      </c>
      <c r="F22" s="30" t="s">
        <v>176</v>
      </c>
      <c r="G22" s="31" t="n">
        <v>120</v>
      </c>
      <c r="H22" s="32" t="s">
        <v>116</v>
      </c>
    </row>
    <row r="23" customFormat="false" ht="15" hidden="false" customHeight="false" outlineLevel="0" collapsed="false">
      <c r="A23" s="28" t="n">
        <v>22</v>
      </c>
      <c r="B23" s="29" t="s">
        <v>177</v>
      </c>
      <c r="C23" s="29" t="s">
        <v>34</v>
      </c>
      <c r="D23" s="29" t="s">
        <v>96</v>
      </c>
      <c r="E23" s="30" t="s">
        <v>178</v>
      </c>
      <c r="F23" s="30" t="s">
        <v>179</v>
      </c>
      <c r="G23" s="31" t="n">
        <v>120</v>
      </c>
      <c r="H23" s="32" t="s">
        <v>116</v>
      </c>
    </row>
    <row r="24" customFormat="false" ht="15" hidden="false" customHeight="false" outlineLevel="0" collapsed="false">
      <c r="A24" s="28" t="n">
        <v>23</v>
      </c>
      <c r="B24" s="29" t="s">
        <v>180</v>
      </c>
      <c r="C24" s="29" t="s">
        <v>34</v>
      </c>
      <c r="D24" s="29" t="s">
        <v>96</v>
      </c>
      <c r="E24" s="30" t="s">
        <v>181</v>
      </c>
      <c r="F24" s="30" t="s">
        <v>182</v>
      </c>
      <c r="G24" s="31" t="n">
        <v>120</v>
      </c>
      <c r="H24" s="32" t="s">
        <v>116</v>
      </c>
    </row>
    <row r="25" customFormat="false" ht="15" hidden="false" customHeight="false" outlineLevel="0" collapsed="false">
      <c r="A25" s="28" t="n">
        <v>24</v>
      </c>
      <c r="B25" s="29" t="s">
        <v>183</v>
      </c>
      <c r="C25" s="29" t="s">
        <v>34</v>
      </c>
      <c r="D25" s="29" t="s">
        <v>96</v>
      </c>
      <c r="E25" s="29" t="s">
        <v>184</v>
      </c>
      <c r="F25" s="29" t="s">
        <v>185</v>
      </c>
      <c r="G25" s="31" t="n">
        <v>120</v>
      </c>
      <c r="H25" s="32" t="s">
        <v>116</v>
      </c>
    </row>
    <row r="26" customFormat="false" ht="15" hidden="false" customHeight="false" outlineLevel="0" collapsed="false">
      <c r="A26" s="28" t="n">
        <v>25</v>
      </c>
      <c r="B26" s="29" t="s">
        <v>186</v>
      </c>
      <c r="C26" s="29" t="s">
        <v>34</v>
      </c>
      <c r="D26" s="29" t="s">
        <v>96</v>
      </c>
      <c r="E26" s="30" t="s">
        <v>187</v>
      </c>
      <c r="F26" s="30" t="s">
        <v>188</v>
      </c>
      <c r="G26" s="31" t="n">
        <v>120</v>
      </c>
      <c r="H26" s="32" t="s">
        <v>116</v>
      </c>
    </row>
    <row r="27" customFormat="false" ht="15" hidden="false" customHeight="false" outlineLevel="0" collapsed="false">
      <c r="A27" s="28" t="n">
        <v>26</v>
      </c>
      <c r="B27" s="29" t="s">
        <v>189</v>
      </c>
      <c r="C27" s="29" t="s">
        <v>34</v>
      </c>
      <c r="D27" s="29" t="s">
        <v>96</v>
      </c>
      <c r="E27" s="30" t="s">
        <v>190</v>
      </c>
      <c r="F27" s="30" t="s">
        <v>191</v>
      </c>
      <c r="G27" s="31" t="n">
        <v>120</v>
      </c>
      <c r="H27" s="32" t="s">
        <v>116</v>
      </c>
    </row>
    <row r="28" customFormat="false" ht="15" hidden="false" customHeight="false" outlineLevel="0" collapsed="false">
      <c r="A28" s="28" t="n">
        <v>27</v>
      </c>
      <c r="B28" s="29" t="s">
        <v>192</v>
      </c>
      <c r="C28" s="29" t="s">
        <v>34</v>
      </c>
      <c r="D28" s="29" t="s">
        <v>96</v>
      </c>
      <c r="E28" s="30" t="s">
        <v>193</v>
      </c>
      <c r="F28" s="29" t="s">
        <v>194</v>
      </c>
      <c r="G28" s="31" t="n">
        <v>120</v>
      </c>
      <c r="H28" s="32" t="s">
        <v>116</v>
      </c>
    </row>
    <row r="29" customFormat="false" ht="15" hidden="false" customHeight="false" outlineLevel="0" collapsed="false">
      <c r="A29" s="28" t="n">
        <v>28</v>
      </c>
      <c r="B29" s="29" t="s">
        <v>195</v>
      </c>
      <c r="C29" s="29" t="s">
        <v>34</v>
      </c>
      <c r="D29" s="29" t="s">
        <v>96</v>
      </c>
      <c r="E29" s="30" t="s">
        <v>196</v>
      </c>
      <c r="F29" s="30" t="s">
        <v>197</v>
      </c>
      <c r="G29" s="31" t="n">
        <v>120</v>
      </c>
      <c r="H29" s="32" t="s">
        <v>116</v>
      </c>
    </row>
    <row r="30" customFormat="false" ht="15" hidden="false" customHeight="false" outlineLevel="0" collapsed="false">
      <c r="A30" s="28" t="n">
        <v>29</v>
      </c>
      <c r="B30" s="29" t="s">
        <v>198</v>
      </c>
      <c r="C30" s="29" t="s">
        <v>34</v>
      </c>
      <c r="D30" s="29" t="s">
        <v>96</v>
      </c>
      <c r="E30" s="30" t="s">
        <v>199</v>
      </c>
      <c r="F30" s="30" t="s">
        <v>200</v>
      </c>
      <c r="G30" s="31" t="n">
        <v>120</v>
      </c>
      <c r="H30" s="32" t="s">
        <v>116</v>
      </c>
    </row>
    <row r="31" customFormat="false" ht="15" hidden="false" customHeight="false" outlineLevel="0" collapsed="false">
      <c r="A31" s="28" t="n">
        <v>30</v>
      </c>
      <c r="B31" s="29" t="s">
        <v>201</v>
      </c>
      <c r="C31" s="29" t="s">
        <v>34</v>
      </c>
      <c r="D31" s="29" t="s">
        <v>96</v>
      </c>
      <c r="E31" s="30" t="s">
        <v>202</v>
      </c>
      <c r="F31" s="30" t="s">
        <v>203</v>
      </c>
      <c r="G31" s="31" t="n">
        <v>120</v>
      </c>
      <c r="H31" s="32" t="s">
        <v>116</v>
      </c>
    </row>
    <row r="32" customFormat="false" ht="15" hidden="false" customHeight="false" outlineLevel="0" collapsed="false">
      <c r="A32" s="33" t="n">
        <v>31</v>
      </c>
      <c r="B32" s="34" t="s">
        <v>204</v>
      </c>
      <c r="C32" s="34" t="s">
        <v>35</v>
      </c>
      <c r="D32" s="34" t="s">
        <v>100</v>
      </c>
      <c r="E32" s="35" t="s">
        <v>205</v>
      </c>
      <c r="F32" s="35" t="s">
        <v>206</v>
      </c>
      <c r="G32" s="36" t="n">
        <v>120</v>
      </c>
      <c r="H32" s="37" t="s">
        <v>116</v>
      </c>
    </row>
    <row r="33" customFormat="false" ht="15" hidden="false" customHeight="false" outlineLevel="0" collapsed="false">
      <c r="A33" s="33" t="n">
        <v>32</v>
      </c>
      <c r="B33" s="34" t="s">
        <v>207</v>
      </c>
      <c r="C33" s="34" t="s">
        <v>35</v>
      </c>
      <c r="D33" s="34" t="s">
        <v>100</v>
      </c>
      <c r="E33" s="35" t="s">
        <v>208</v>
      </c>
      <c r="F33" s="35" t="s">
        <v>209</v>
      </c>
      <c r="G33" s="36" t="n">
        <v>120</v>
      </c>
      <c r="H33" s="37" t="s">
        <v>116</v>
      </c>
    </row>
    <row r="34" customFormat="false" ht="15" hidden="false" customHeight="false" outlineLevel="0" collapsed="false">
      <c r="A34" s="33" t="n">
        <v>33</v>
      </c>
      <c r="B34" s="34" t="s">
        <v>210</v>
      </c>
      <c r="C34" s="34" t="s">
        <v>35</v>
      </c>
      <c r="D34" s="34" t="s">
        <v>100</v>
      </c>
      <c r="E34" s="35" t="s">
        <v>211</v>
      </c>
      <c r="F34" s="35" t="s">
        <v>212</v>
      </c>
      <c r="G34" s="36" t="n">
        <v>120</v>
      </c>
      <c r="H34" s="37" t="s">
        <v>116</v>
      </c>
    </row>
    <row r="35" customFormat="false" ht="15" hidden="false" customHeight="false" outlineLevel="0" collapsed="false">
      <c r="A35" s="33" t="n">
        <v>34</v>
      </c>
      <c r="B35" s="34" t="s">
        <v>213</v>
      </c>
      <c r="C35" s="34" t="s">
        <v>35</v>
      </c>
      <c r="D35" s="34" t="s">
        <v>100</v>
      </c>
      <c r="E35" s="35" t="s">
        <v>214</v>
      </c>
      <c r="F35" s="35" t="s">
        <v>215</v>
      </c>
      <c r="G35" s="36" t="n">
        <v>120</v>
      </c>
      <c r="H35" s="37" t="s">
        <v>116</v>
      </c>
    </row>
    <row r="36" customFormat="false" ht="15" hidden="false" customHeight="false" outlineLevel="0" collapsed="false">
      <c r="A36" s="33" t="n">
        <v>35</v>
      </c>
      <c r="B36" s="34" t="s">
        <v>216</v>
      </c>
      <c r="C36" s="34" t="s">
        <v>35</v>
      </c>
      <c r="D36" s="34" t="s">
        <v>100</v>
      </c>
      <c r="E36" s="35" t="s">
        <v>217</v>
      </c>
      <c r="F36" s="35" t="s">
        <v>218</v>
      </c>
      <c r="G36" s="36" t="n">
        <v>120</v>
      </c>
      <c r="H36" s="37" t="s">
        <v>116</v>
      </c>
    </row>
    <row r="37" customFormat="false" ht="15" hidden="false" customHeight="false" outlineLevel="0" collapsed="false">
      <c r="A37" s="33" t="n">
        <v>36</v>
      </c>
      <c r="B37" s="34" t="s">
        <v>219</v>
      </c>
      <c r="C37" s="34" t="s">
        <v>35</v>
      </c>
      <c r="D37" s="34" t="s">
        <v>100</v>
      </c>
      <c r="E37" s="35" t="s">
        <v>220</v>
      </c>
      <c r="F37" s="35" t="s">
        <v>221</v>
      </c>
      <c r="G37" s="36" t="n">
        <v>120</v>
      </c>
      <c r="H37" s="37" t="s">
        <v>116</v>
      </c>
    </row>
    <row r="38" customFormat="false" ht="15" hidden="false" customHeight="false" outlineLevel="0" collapsed="false">
      <c r="A38" s="33" t="n">
        <v>37</v>
      </c>
      <c r="B38" s="34" t="s">
        <v>222</v>
      </c>
      <c r="C38" s="34" t="s">
        <v>35</v>
      </c>
      <c r="D38" s="34" t="s">
        <v>100</v>
      </c>
      <c r="E38" s="35" t="s">
        <v>223</v>
      </c>
      <c r="F38" s="35" t="s">
        <v>224</v>
      </c>
      <c r="G38" s="36" t="n">
        <v>120</v>
      </c>
      <c r="H38" s="37" t="s">
        <v>116</v>
      </c>
    </row>
    <row r="39" customFormat="false" ht="15" hidden="false" customHeight="false" outlineLevel="0" collapsed="false">
      <c r="A39" s="33" t="n">
        <v>38</v>
      </c>
      <c r="B39" s="34" t="s">
        <v>225</v>
      </c>
      <c r="C39" s="34" t="s">
        <v>35</v>
      </c>
      <c r="D39" s="34" t="s">
        <v>100</v>
      </c>
      <c r="E39" s="35" t="s">
        <v>226</v>
      </c>
      <c r="F39" s="35" t="s">
        <v>227</v>
      </c>
      <c r="G39" s="36" t="n">
        <v>120</v>
      </c>
      <c r="H39" s="37" t="s">
        <v>116</v>
      </c>
    </row>
    <row r="40" customFormat="false" ht="15" hidden="false" customHeight="false" outlineLevel="0" collapsed="false">
      <c r="A40" s="33" t="n">
        <v>39</v>
      </c>
      <c r="B40" s="34" t="s">
        <v>228</v>
      </c>
      <c r="C40" s="34" t="s">
        <v>35</v>
      </c>
      <c r="D40" s="34" t="s">
        <v>100</v>
      </c>
      <c r="E40" s="35" t="s">
        <v>229</v>
      </c>
      <c r="F40" s="35" t="s">
        <v>230</v>
      </c>
      <c r="G40" s="36" t="n">
        <v>120</v>
      </c>
      <c r="H40" s="37" t="s">
        <v>116</v>
      </c>
    </row>
    <row r="41" customFormat="false" ht="15" hidden="false" customHeight="false" outlineLevel="0" collapsed="false">
      <c r="A41" s="33" t="n">
        <v>40</v>
      </c>
      <c r="B41" s="34" t="s">
        <v>231</v>
      </c>
      <c r="C41" s="34" t="s">
        <v>35</v>
      </c>
      <c r="D41" s="34" t="s">
        <v>100</v>
      </c>
      <c r="E41" s="35" t="s">
        <v>232</v>
      </c>
      <c r="F41" s="35" t="s">
        <v>233</v>
      </c>
      <c r="G41" s="36" t="n">
        <v>120</v>
      </c>
      <c r="H41" s="37" t="s">
        <v>116</v>
      </c>
    </row>
    <row r="42" customFormat="false" ht="15" hidden="false" customHeight="false" outlineLevel="0" collapsed="false">
      <c r="A42" s="33" t="n">
        <v>41</v>
      </c>
      <c r="B42" s="34" t="s">
        <v>234</v>
      </c>
      <c r="C42" s="34" t="s">
        <v>35</v>
      </c>
      <c r="D42" s="34" t="s">
        <v>100</v>
      </c>
      <c r="E42" s="35" t="s">
        <v>235</v>
      </c>
      <c r="F42" s="35" t="s">
        <v>236</v>
      </c>
      <c r="G42" s="36" t="n">
        <v>120</v>
      </c>
      <c r="H42" s="37" t="s">
        <v>116</v>
      </c>
    </row>
    <row r="43" customFormat="false" ht="15" hidden="false" customHeight="false" outlineLevel="0" collapsed="false">
      <c r="A43" s="33" t="n">
        <v>42</v>
      </c>
      <c r="B43" s="34" t="s">
        <v>237</v>
      </c>
      <c r="C43" s="34" t="s">
        <v>35</v>
      </c>
      <c r="D43" s="34" t="s">
        <v>100</v>
      </c>
      <c r="E43" s="35" t="s">
        <v>238</v>
      </c>
      <c r="F43" s="35" t="s">
        <v>239</v>
      </c>
      <c r="G43" s="36" t="n">
        <v>120</v>
      </c>
      <c r="H43" s="37" t="s">
        <v>116</v>
      </c>
    </row>
    <row r="44" customFormat="false" ht="15" hidden="false" customHeight="false" outlineLevel="0" collapsed="false">
      <c r="A44" s="33" t="n">
        <v>43</v>
      </c>
      <c r="B44" s="34" t="s">
        <v>240</v>
      </c>
      <c r="C44" s="34" t="s">
        <v>35</v>
      </c>
      <c r="D44" s="34" t="s">
        <v>100</v>
      </c>
      <c r="E44" s="35" t="s">
        <v>241</v>
      </c>
      <c r="F44" s="35" t="s">
        <v>242</v>
      </c>
      <c r="G44" s="36" t="n">
        <v>120</v>
      </c>
      <c r="H44" s="37" t="s">
        <v>116</v>
      </c>
    </row>
    <row r="45" customFormat="false" ht="15" hidden="false" customHeight="false" outlineLevel="0" collapsed="false">
      <c r="A45" s="33" t="n">
        <v>44</v>
      </c>
      <c r="B45" s="34" t="s">
        <v>243</v>
      </c>
      <c r="C45" s="34" t="s">
        <v>35</v>
      </c>
      <c r="D45" s="34" t="s">
        <v>100</v>
      </c>
      <c r="E45" s="35" t="s">
        <v>244</v>
      </c>
      <c r="F45" s="35" t="s">
        <v>245</v>
      </c>
      <c r="G45" s="36" t="n">
        <v>120</v>
      </c>
      <c r="H45" s="37" t="s">
        <v>116</v>
      </c>
    </row>
    <row r="46" customFormat="false" ht="15" hidden="false" customHeight="false" outlineLevel="0" collapsed="false">
      <c r="A46" s="33" t="n">
        <v>45</v>
      </c>
      <c r="B46" s="34" t="s">
        <v>246</v>
      </c>
      <c r="C46" s="34" t="s">
        <v>35</v>
      </c>
      <c r="D46" s="34" t="s">
        <v>100</v>
      </c>
      <c r="E46" s="35" t="s">
        <v>247</v>
      </c>
      <c r="F46" s="35" t="s">
        <v>248</v>
      </c>
      <c r="G46" s="36" t="n">
        <v>120</v>
      </c>
      <c r="H46" s="37" t="s">
        <v>116</v>
      </c>
    </row>
    <row r="47" customFormat="false" ht="15" hidden="false" customHeight="false" outlineLevel="0" collapsed="false">
      <c r="A47" s="38" t="n">
        <v>46</v>
      </c>
      <c r="B47" s="39" t="s">
        <v>249</v>
      </c>
      <c r="C47" s="39" t="s">
        <v>36</v>
      </c>
      <c r="D47" s="39" t="s">
        <v>100</v>
      </c>
      <c r="E47" s="40" t="s">
        <v>250</v>
      </c>
      <c r="F47" s="40" t="s">
        <v>251</v>
      </c>
      <c r="G47" s="41" t="n">
        <v>120</v>
      </c>
      <c r="H47" s="42" t="s">
        <v>116</v>
      </c>
    </row>
    <row r="48" customFormat="false" ht="15" hidden="false" customHeight="false" outlineLevel="0" collapsed="false">
      <c r="A48" s="38" t="n">
        <v>47</v>
      </c>
      <c r="B48" s="39" t="s">
        <v>252</v>
      </c>
      <c r="C48" s="39" t="s">
        <v>36</v>
      </c>
      <c r="D48" s="39" t="s">
        <v>100</v>
      </c>
      <c r="E48" s="40" t="s">
        <v>253</v>
      </c>
      <c r="F48" s="40" t="s">
        <v>254</v>
      </c>
      <c r="G48" s="41" t="n">
        <v>120</v>
      </c>
      <c r="H48" s="42" t="s">
        <v>116</v>
      </c>
    </row>
    <row r="49" customFormat="false" ht="15" hidden="false" customHeight="false" outlineLevel="0" collapsed="false">
      <c r="A49" s="38" t="n">
        <v>48</v>
      </c>
      <c r="B49" s="39" t="s">
        <v>255</v>
      </c>
      <c r="C49" s="39" t="s">
        <v>36</v>
      </c>
      <c r="D49" s="39" t="s">
        <v>100</v>
      </c>
      <c r="E49" s="40" t="s">
        <v>256</v>
      </c>
      <c r="F49" s="40" t="s">
        <v>257</v>
      </c>
      <c r="G49" s="41" t="n">
        <v>120</v>
      </c>
      <c r="H49" s="42" t="s">
        <v>116</v>
      </c>
    </row>
    <row r="50" customFormat="false" ht="15" hidden="false" customHeight="false" outlineLevel="0" collapsed="false">
      <c r="A50" s="38" t="n">
        <v>49</v>
      </c>
      <c r="B50" s="39" t="s">
        <v>258</v>
      </c>
      <c r="C50" s="39" t="s">
        <v>36</v>
      </c>
      <c r="D50" s="39" t="s">
        <v>100</v>
      </c>
      <c r="E50" s="40" t="s">
        <v>259</v>
      </c>
      <c r="F50" s="40" t="s">
        <v>260</v>
      </c>
      <c r="G50" s="41" t="n">
        <v>120</v>
      </c>
      <c r="H50" s="42" t="s">
        <v>116</v>
      </c>
    </row>
    <row r="51" customFormat="false" ht="15" hidden="false" customHeight="false" outlineLevel="0" collapsed="false">
      <c r="A51" s="38" t="n">
        <v>50</v>
      </c>
      <c r="B51" s="39" t="s">
        <v>261</v>
      </c>
      <c r="C51" s="39" t="s">
        <v>36</v>
      </c>
      <c r="D51" s="39" t="s">
        <v>100</v>
      </c>
      <c r="E51" s="40" t="s">
        <v>262</v>
      </c>
      <c r="F51" s="40" t="s">
        <v>263</v>
      </c>
      <c r="G51" s="41" t="n">
        <v>120</v>
      </c>
      <c r="H51" s="42" t="s">
        <v>116</v>
      </c>
    </row>
    <row r="52" customFormat="false" ht="15" hidden="false" customHeight="false" outlineLevel="0" collapsed="false">
      <c r="A52" s="38" t="n">
        <v>51</v>
      </c>
      <c r="B52" s="39" t="s">
        <v>264</v>
      </c>
      <c r="C52" s="39" t="s">
        <v>36</v>
      </c>
      <c r="D52" s="39" t="s">
        <v>100</v>
      </c>
      <c r="E52" s="40" t="s">
        <v>265</v>
      </c>
      <c r="F52" s="40" t="s">
        <v>266</v>
      </c>
      <c r="G52" s="41" t="n">
        <v>120</v>
      </c>
      <c r="H52" s="42" t="s">
        <v>116</v>
      </c>
    </row>
    <row r="53" customFormat="false" ht="15" hidden="false" customHeight="false" outlineLevel="0" collapsed="false">
      <c r="A53" s="38" t="n">
        <v>52</v>
      </c>
      <c r="B53" s="39" t="s">
        <v>267</v>
      </c>
      <c r="C53" s="39" t="s">
        <v>36</v>
      </c>
      <c r="D53" s="39" t="s">
        <v>100</v>
      </c>
      <c r="E53" s="40" t="s">
        <v>268</v>
      </c>
      <c r="F53" s="40" t="s">
        <v>269</v>
      </c>
      <c r="G53" s="41" t="n">
        <v>120</v>
      </c>
      <c r="H53" s="42" t="s">
        <v>116</v>
      </c>
    </row>
    <row r="54" customFormat="false" ht="15" hidden="false" customHeight="false" outlineLevel="0" collapsed="false">
      <c r="A54" s="38" t="n">
        <v>53</v>
      </c>
      <c r="B54" s="39" t="s">
        <v>270</v>
      </c>
      <c r="C54" s="39" t="s">
        <v>36</v>
      </c>
      <c r="D54" s="39" t="s">
        <v>100</v>
      </c>
      <c r="E54" s="40" t="s">
        <v>271</v>
      </c>
      <c r="F54" s="40" t="s">
        <v>272</v>
      </c>
      <c r="G54" s="41" t="n">
        <v>120</v>
      </c>
      <c r="H54" s="42" t="s">
        <v>116</v>
      </c>
    </row>
    <row r="55" customFormat="false" ht="15" hidden="false" customHeight="false" outlineLevel="0" collapsed="false">
      <c r="A55" s="38" t="n">
        <v>54</v>
      </c>
      <c r="B55" s="39" t="s">
        <v>273</v>
      </c>
      <c r="C55" s="39" t="s">
        <v>36</v>
      </c>
      <c r="D55" s="39" t="s">
        <v>100</v>
      </c>
      <c r="E55" s="40" t="s">
        <v>274</v>
      </c>
      <c r="F55" s="40" t="s">
        <v>275</v>
      </c>
      <c r="G55" s="41" t="n">
        <v>120</v>
      </c>
      <c r="H55" s="42" t="s">
        <v>116</v>
      </c>
    </row>
    <row r="56" customFormat="false" ht="15" hidden="false" customHeight="false" outlineLevel="0" collapsed="false">
      <c r="A56" s="38" t="n">
        <v>55</v>
      </c>
      <c r="B56" s="39" t="s">
        <v>276</v>
      </c>
      <c r="C56" s="39" t="s">
        <v>36</v>
      </c>
      <c r="D56" s="39" t="s">
        <v>100</v>
      </c>
      <c r="E56" s="40" t="s">
        <v>277</v>
      </c>
      <c r="F56" s="40" t="s">
        <v>278</v>
      </c>
      <c r="G56" s="41" t="n">
        <v>120</v>
      </c>
      <c r="H56" s="42" t="s">
        <v>116</v>
      </c>
    </row>
    <row r="57" customFormat="false" ht="15" hidden="false" customHeight="false" outlineLevel="0" collapsed="false">
      <c r="A57" s="38" t="n">
        <v>56</v>
      </c>
      <c r="B57" s="39" t="s">
        <v>279</v>
      </c>
      <c r="C57" s="39" t="s">
        <v>36</v>
      </c>
      <c r="D57" s="39" t="s">
        <v>100</v>
      </c>
      <c r="E57" s="40" t="s">
        <v>280</v>
      </c>
      <c r="F57" s="40" t="s">
        <v>281</v>
      </c>
      <c r="G57" s="41" t="n">
        <v>120</v>
      </c>
      <c r="H57" s="42" t="s">
        <v>116</v>
      </c>
    </row>
    <row r="58" customFormat="false" ht="15" hidden="false" customHeight="false" outlineLevel="0" collapsed="false">
      <c r="A58" s="38" t="n">
        <v>57</v>
      </c>
      <c r="B58" s="39" t="s">
        <v>282</v>
      </c>
      <c r="C58" s="39" t="s">
        <v>36</v>
      </c>
      <c r="D58" s="39" t="s">
        <v>100</v>
      </c>
      <c r="E58" s="40" t="s">
        <v>283</v>
      </c>
      <c r="F58" s="40" t="s">
        <v>284</v>
      </c>
      <c r="G58" s="41" t="n">
        <v>120</v>
      </c>
      <c r="H58" s="42" t="s">
        <v>116</v>
      </c>
    </row>
    <row r="59" customFormat="false" ht="15" hidden="false" customHeight="false" outlineLevel="0" collapsed="false">
      <c r="A59" s="38" t="n">
        <v>58</v>
      </c>
      <c r="B59" s="39" t="s">
        <v>285</v>
      </c>
      <c r="C59" s="39" t="s">
        <v>36</v>
      </c>
      <c r="D59" s="39" t="s">
        <v>100</v>
      </c>
      <c r="E59" s="39" t="s">
        <v>286</v>
      </c>
      <c r="F59" s="40" t="s">
        <v>287</v>
      </c>
      <c r="G59" s="41" t="n">
        <v>120</v>
      </c>
      <c r="H59" s="42" t="s">
        <v>116</v>
      </c>
    </row>
    <row r="60" customFormat="false" ht="15" hidden="false" customHeight="false" outlineLevel="0" collapsed="false">
      <c r="A60" s="38" t="n">
        <v>59</v>
      </c>
      <c r="B60" s="39" t="s">
        <v>288</v>
      </c>
      <c r="C60" s="39" t="s">
        <v>36</v>
      </c>
      <c r="D60" s="39" t="s">
        <v>100</v>
      </c>
      <c r="E60" s="40" t="s">
        <v>289</v>
      </c>
      <c r="F60" s="40" t="s">
        <v>290</v>
      </c>
      <c r="G60" s="41" t="n">
        <v>120</v>
      </c>
      <c r="H60" s="42" t="s">
        <v>116</v>
      </c>
    </row>
    <row r="61" customFormat="false" ht="15" hidden="false" customHeight="false" outlineLevel="0" collapsed="false">
      <c r="A61" s="38" t="n">
        <v>60</v>
      </c>
      <c r="B61" s="39" t="s">
        <v>291</v>
      </c>
      <c r="C61" s="39" t="s">
        <v>36</v>
      </c>
      <c r="D61" s="39" t="s">
        <v>100</v>
      </c>
      <c r="E61" s="40" t="s">
        <v>292</v>
      </c>
      <c r="F61" s="40" t="s">
        <v>293</v>
      </c>
      <c r="G61" s="41" t="n">
        <v>120</v>
      </c>
      <c r="H61" s="42" t="s">
        <v>116</v>
      </c>
    </row>
    <row r="62" customFormat="false" ht="26.85" hidden="false" customHeight="false" outlineLevel="0" collapsed="false">
      <c r="A62" s="43" t="n">
        <v>61</v>
      </c>
      <c r="B62" s="44" t="s">
        <v>294</v>
      </c>
      <c r="C62" s="44" t="s">
        <v>37</v>
      </c>
      <c r="D62" s="44" t="s">
        <v>100</v>
      </c>
      <c r="E62" s="45" t="s">
        <v>295</v>
      </c>
      <c r="F62" s="45" t="s">
        <v>296</v>
      </c>
      <c r="G62" s="46" t="n">
        <v>120</v>
      </c>
      <c r="H62" s="47" t="s">
        <v>116</v>
      </c>
    </row>
    <row r="63" customFormat="false" ht="26.85" hidden="false" customHeight="false" outlineLevel="0" collapsed="false">
      <c r="A63" s="43" t="n">
        <v>62</v>
      </c>
      <c r="B63" s="44" t="s">
        <v>297</v>
      </c>
      <c r="C63" s="44" t="s">
        <v>37</v>
      </c>
      <c r="D63" s="44" t="s">
        <v>100</v>
      </c>
      <c r="E63" s="45" t="s">
        <v>298</v>
      </c>
      <c r="F63" s="45" t="s">
        <v>299</v>
      </c>
      <c r="G63" s="46" t="n">
        <v>120</v>
      </c>
      <c r="H63" s="47" t="s">
        <v>116</v>
      </c>
    </row>
    <row r="64" customFormat="false" ht="26.85" hidden="false" customHeight="false" outlineLevel="0" collapsed="false">
      <c r="A64" s="43" t="n">
        <v>63</v>
      </c>
      <c r="B64" s="44" t="s">
        <v>300</v>
      </c>
      <c r="C64" s="44" t="s">
        <v>37</v>
      </c>
      <c r="D64" s="44" t="s">
        <v>100</v>
      </c>
      <c r="E64" s="45" t="s">
        <v>301</v>
      </c>
      <c r="F64" s="45" t="s">
        <v>302</v>
      </c>
      <c r="G64" s="46" t="n">
        <v>120</v>
      </c>
      <c r="H64" s="47" t="s">
        <v>116</v>
      </c>
    </row>
    <row r="65" customFormat="false" ht="26.85" hidden="false" customHeight="false" outlineLevel="0" collapsed="false">
      <c r="A65" s="43" t="n">
        <v>64</v>
      </c>
      <c r="B65" s="44" t="s">
        <v>303</v>
      </c>
      <c r="C65" s="44" t="s">
        <v>37</v>
      </c>
      <c r="D65" s="44" t="s">
        <v>100</v>
      </c>
      <c r="E65" s="45" t="s">
        <v>304</v>
      </c>
      <c r="F65" s="45" t="s">
        <v>305</v>
      </c>
      <c r="G65" s="46" t="n">
        <v>120</v>
      </c>
      <c r="H65" s="47" t="s">
        <v>116</v>
      </c>
    </row>
    <row r="66" customFormat="false" ht="26.85" hidden="false" customHeight="false" outlineLevel="0" collapsed="false">
      <c r="A66" s="43" t="n">
        <v>65</v>
      </c>
      <c r="B66" s="44" t="s">
        <v>306</v>
      </c>
      <c r="C66" s="44" t="s">
        <v>37</v>
      </c>
      <c r="D66" s="44" t="s">
        <v>100</v>
      </c>
      <c r="E66" s="45" t="s">
        <v>307</v>
      </c>
      <c r="F66" s="45" t="s">
        <v>308</v>
      </c>
      <c r="G66" s="46" t="n">
        <v>120</v>
      </c>
      <c r="H66" s="47" t="s">
        <v>116</v>
      </c>
    </row>
    <row r="67" customFormat="false" ht="26.85" hidden="false" customHeight="false" outlineLevel="0" collapsed="false">
      <c r="A67" s="43" t="n">
        <v>66</v>
      </c>
      <c r="B67" s="44" t="s">
        <v>309</v>
      </c>
      <c r="C67" s="44" t="s">
        <v>37</v>
      </c>
      <c r="D67" s="44" t="s">
        <v>100</v>
      </c>
      <c r="E67" s="45" t="s">
        <v>310</v>
      </c>
      <c r="F67" s="45" t="s">
        <v>311</v>
      </c>
      <c r="G67" s="46" t="n">
        <v>120</v>
      </c>
      <c r="H67" s="47" t="s">
        <v>116</v>
      </c>
    </row>
    <row r="68" customFormat="false" ht="26.85" hidden="false" customHeight="false" outlineLevel="0" collapsed="false">
      <c r="A68" s="43" t="n">
        <v>67</v>
      </c>
      <c r="B68" s="44" t="s">
        <v>312</v>
      </c>
      <c r="C68" s="44" t="s">
        <v>37</v>
      </c>
      <c r="D68" s="44" t="s">
        <v>100</v>
      </c>
      <c r="E68" s="45" t="s">
        <v>313</v>
      </c>
      <c r="F68" s="45" t="s">
        <v>314</v>
      </c>
      <c r="G68" s="46" t="n">
        <v>120</v>
      </c>
      <c r="H68" s="47" t="s">
        <v>116</v>
      </c>
    </row>
    <row r="69" customFormat="false" ht="26.85" hidden="false" customHeight="false" outlineLevel="0" collapsed="false">
      <c r="A69" s="43" t="n">
        <v>68</v>
      </c>
      <c r="B69" s="44" t="s">
        <v>315</v>
      </c>
      <c r="C69" s="44" t="s">
        <v>37</v>
      </c>
      <c r="D69" s="44" t="s">
        <v>100</v>
      </c>
      <c r="E69" s="44" t="s">
        <v>316</v>
      </c>
      <c r="F69" s="45" t="s">
        <v>317</v>
      </c>
      <c r="G69" s="46" t="n">
        <v>120</v>
      </c>
      <c r="H69" s="47" t="s">
        <v>116</v>
      </c>
    </row>
    <row r="70" customFormat="false" ht="26.85" hidden="false" customHeight="false" outlineLevel="0" collapsed="false">
      <c r="A70" s="43" t="n">
        <v>69</v>
      </c>
      <c r="B70" s="44" t="s">
        <v>318</v>
      </c>
      <c r="C70" s="44" t="s">
        <v>37</v>
      </c>
      <c r="D70" s="44" t="s">
        <v>100</v>
      </c>
      <c r="E70" s="45" t="s">
        <v>319</v>
      </c>
      <c r="F70" s="45" t="s">
        <v>320</v>
      </c>
      <c r="G70" s="46" t="n">
        <v>120</v>
      </c>
      <c r="H70" s="47" t="s">
        <v>116</v>
      </c>
    </row>
    <row r="71" customFormat="false" ht="26.85" hidden="false" customHeight="false" outlineLevel="0" collapsed="false">
      <c r="A71" s="43" t="n">
        <v>70</v>
      </c>
      <c r="B71" s="44" t="s">
        <v>321</v>
      </c>
      <c r="C71" s="44" t="s">
        <v>37</v>
      </c>
      <c r="D71" s="44" t="s">
        <v>100</v>
      </c>
      <c r="E71" s="45" t="s">
        <v>322</v>
      </c>
      <c r="F71" s="45" t="s">
        <v>323</v>
      </c>
      <c r="G71" s="46" t="n">
        <v>120</v>
      </c>
      <c r="H71" s="47" t="s">
        <v>116</v>
      </c>
    </row>
    <row r="72" customFormat="false" ht="26.85" hidden="false" customHeight="false" outlineLevel="0" collapsed="false">
      <c r="A72" s="43" t="n">
        <v>71</v>
      </c>
      <c r="B72" s="44" t="s">
        <v>324</v>
      </c>
      <c r="C72" s="44" t="s">
        <v>37</v>
      </c>
      <c r="D72" s="44" t="s">
        <v>100</v>
      </c>
      <c r="E72" s="45" t="s">
        <v>325</v>
      </c>
      <c r="F72" s="45" t="s">
        <v>326</v>
      </c>
      <c r="G72" s="46" t="n">
        <v>120</v>
      </c>
      <c r="H72" s="47" t="s">
        <v>116</v>
      </c>
    </row>
    <row r="73" customFormat="false" ht="26.85" hidden="false" customHeight="false" outlineLevel="0" collapsed="false">
      <c r="A73" s="43" t="n">
        <v>72</v>
      </c>
      <c r="B73" s="44" t="s">
        <v>327</v>
      </c>
      <c r="C73" s="44" t="s">
        <v>37</v>
      </c>
      <c r="D73" s="44" t="s">
        <v>100</v>
      </c>
      <c r="E73" s="45" t="s">
        <v>328</v>
      </c>
      <c r="F73" s="45" t="s">
        <v>329</v>
      </c>
      <c r="G73" s="46" t="n">
        <v>120</v>
      </c>
      <c r="H73" s="47" t="s">
        <v>116</v>
      </c>
    </row>
    <row r="74" customFormat="false" ht="26.85" hidden="false" customHeight="false" outlineLevel="0" collapsed="false">
      <c r="A74" s="43" t="n">
        <v>73</v>
      </c>
      <c r="B74" s="44" t="s">
        <v>330</v>
      </c>
      <c r="C74" s="44" t="s">
        <v>37</v>
      </c>
      <c r="D74" s="44" t="s">
        <v>100</v>
      </c>
      <c r="E74" s="45" t="s">
        <v>331</v>
      </c>
      <c r="F74" s="45" t="s">
        <v>332</v>
      </c>
      <c r="G74" s="46" t="n">
        <v>120</v>
      </c>
      <c r="H74" s="47" t="s">
        <v>116</v>
      </c>
    </row>
    <row r="75" customFormat="false" ht="26.85" hidden="false" customHeight="false" outlineLevel="0" collapsed="false">
      <c r="A75" s="43" t="n">
        <v>74</v>
      </c>
      <c r="B75" s="44" t="s">
        <v>333</v>
      </c>
      <c r="C75" s="44" t="s">
        <v>37</v>
      </c>
      <c r="D75" s="44" t="s">
        <v>100</v>
      </c>
      <c r="E75" s="45" t="s">
        <v>334</v>
      </c>
      <c r="F75" s="45" t="s">
        <v>335</v>
      </c>
      <c r="G75" s="46" t="n">
        <v>120</v>
      </c>
      <c r="H75" s="47" t="s">
        <v>116</v>
      </c>
    </row>
    <row r="76" customFormat="false" ht="26.85" hidden="false" customHeight="false" outlineLevel="0" collapsed="false">
      <c r="A76" s="43" t="n">
        <v>75</v>
      </c>
      <c r="B76" s="44" t="s">
        <v>336</v>
      </c>
      <c r="C76" s="44" t="s">
        <v>37</v>
      </c>
      <c r="D76" s="44" t="s">
        <v>100</v>
      </c>
      <c r="E76" s="45" t="s">
        <v>337</v>
      </c>
      <c r="F76" s="44" t="s">
        <v>338</v>
      </c>
      <c r="G76" s="46" t="n">
        <v>120</v>
      </c>
      <c r="H76" s="47" t="s">
        <v>116</v>
      </c>
    </row>
  </sheetData>
  <autoFilter ref="A1:H76"/>
  <dataValidations count="1">
    <dataValidation allowBlank="false" errorStyle="stop" operator="between" showDropDown="false" showErrorMessage="false" showInputMessage="false" sqref="H2:H76" type="list">
      <formula1>"미작성,작성중,초고완료,검수완료"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3" t="s">
        <v>2</v>
      </c>
      <c r="B1" s="3" t="s">
        <v>339</v>
      </c>
    </row>
    <row r="2" customFormat="false" ht="15" hidden="false" customHeight="false" outlineLevel="0" collapsed="false">
      <c r="A2" s="4" t="s">
        <v>340</v>
      </c>
      <c r="B2" s="4" t="s">
        <v>341</v>
      </c>
    </row>
    <row r="3" customFormat="false" ht="15" hidden="false" customHeight="false" outlineLevel="0" collapsed="false">
      <c r="A3" s="4" t="s">
        <v>342</v>
      </c>
      <c r="B3" s="5" t="s">
        <v>343</v>
      </c>
    </row>
    <row r="4" customFormat="false" ht="15" hidden="false" customHeight="false" outlineLevel="0" collapsed="false">
      <c r="A4" s="4" t="s">
        <v>344</v>
      </c>
      <c r="B4" s="5" t="s">
        <v>345</v>
      </c>
    </row>
    <row r="5" customFormat="false" ht="15" hidden="false" customHeight="false" outlineLevel="0" collapsed="false">
      <c r="A5" s="4" t="s">
        <v>346</v>
      </c>
      <c r="B5" s="4" t="s">
        <v>347</v>
      </c>
    </row>
    <row r="6" customFormat="false" ht="26.85" hidden="false" customHeight="false" outlineLevel="0" collapsed="false">
      <c r="A6" s="4" t="s">
        <v>348</v>
      </c>
      <c r="B6" s="4" t="s">
        <v>349</v>
      </c>
    </row>
    <row r="7" customFormat="false" ht="26.85" hidden="false" customHeight="false" outlineLevel="0" collapsed="false">
      <c r="A7" s="4" t="s">
        <v>350</v>
      </c>
      <c r="B7" s="5" t="s">
        <v>351</v>
      </c>
    </row>
    <row r="8" customFormat="false" ht="26.85" hidden="false" customHeight="false" outlineLevel="0" collapsed="false">
      <c r="A8" s="4" t="s">
        <v>352</v>
      </c>
      <c r="B8" s="4" t="s">
        <v>353</v>
      </c>
    </row>
    <row r="9" customFormat="false" ht="26.85" hidden="false" customHeight="false" outlineLevel="0" collapsed="false">
      <c r="A9" s="4" t="s">
        <v>354</v>
      </c>
      <c r="B9" s="4" t="s">
        <v>355</v>
      </c>
    </row>
    <row r="10" customFormat="false" ht="15" hidden="false" customHeight="false" outlineLevel="0" collapsed="false">
      <c r="A10" s="4" t="s">
        <v>356</v>
      </c>
      <c r="B10" s="4" t="s">
        <v>357</v>
      </c>
    </row>
    <row r="11" customFormat="false" ht="15" hidden="false" customHeight="false" outlineLevel="0" collapsed="false">
      <c r="A11" s="4" t="s">
        <v>358</v>
      </c>
      <c r="B11" s="4" t="s">
        <v>359</v>
      </c>
    </row>
    <row r="12" customFormat="false" ht="15" hidden="false" customHeight="false" outlineLevel="0" collapsed="false">
      <c r="A12" s="4" t="s">
        <v>360</v>
      </c>
      <c r="B12" s="4" t="s">
        <v>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3" t="s">
        <v>29</v>
      </c>
      <c r="B1" s="3" t="s">
        <v>362</v>
      </c>
    </row>
    <row r="2" customFormat="false" ht="15" hidden="false" customHeight="false" outlineLevel="0" collapsed="false">
      <c r="A2" s="5" t="s">
        <v>363</v>
      </c>
      <c r="B2" s="4" t="s">
        <v>364</v>
      </c>
    </row>
    <row r="3" customFormat="false" ht="15" hidden="false" customHeight="false" outlineLevel="0" collapsed="false">
      <c r="A3" s="5" t="s">
        <v>365</v>
      </c>
      <c r="B3" s="4" t="s">
        <v>366</v>
      </c>
    </row>
    <row r="4" customFormat="false" ht="15" hidden="false" customHeight="false" outlineLevel="0" collapsed="false">
      <c r="A4" s="5" t="s">
        <v>367</v>
      </c>
      <c r="B4" s="4" t="s">
        <v>368</v>
      </c>
    </row>
    <row r="5" customFormat="false" ht="15" hidden="false" customHeight="false" outlineLevel="0" collapsed="false">
      <c r="A5" s="5" t="s">
        <v>369</v>
      </c>
      <c r="B5" s="4" t="s">
        <v>370</v>
      </c>
    </row>
    <row r="6" customFormat="false" ht="15" hidden="false" customHeight="false" outlineLevel="0" collapsed="false">
      <c r="A6" s="5" t="s">
        <v>371</v>
      </c>
      <c r="B6" s="4" t="s">
        <v>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2026-10-09T05:32:03Z</dcterms:created>
  <dc:creator>openpyxl</dc:creator>
  <dc:description/>
  <dc:language>en-US</dc:language>
  <cp:lastModifiedBy/>
  <dcterms:modified xsi:type="dcterms:W3CDTF">2026-10-09T05:32:03Z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